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Estatística" sheetId="2" state="visible" r:id="rId4"/>
    <sheet name="Testes" sheetId="3" state="visible" r:id="rId5"/>
    <sheet name="Gráfic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9" authorId="0">
      <text>
        <r>
          <rPr>
            <sz val="10"/>
            <rFont val="Arial"/>
            <family val="2"/>
          </rPr>
          <t xml:space="preserve">Outlier extremo (2310 ppm). Colocado na última linha para que as estatísticas 'sem outlier' usem um intervalo contínuo.</t>
        </r>
      </text>
    </comment>
  </commentList>
</comments>
</file>

<file path=xl/sharedStrings.xml><?xml version="1.0" encoding="utf-8"?>
<sst xmlns="http://schemas.openxmlformats.org/spreadsheetml/2006/main" count="258" uniqueCount="116">
  <si>
    <t xml:space="preserve">Amostra</t>
  </si>
  <si>
    <t xml:space="preserve">Tabela</t>
  </si>
  <si>
    <t xml:space="preserve">Grupo</t>
  </si>
  <si>
    <t xml:space="preserve">Furo</t>
  </si>
  <si>
    <t xml:space="preserve">Profundidade (m)*</t>
  </si>
  <si>
    <t xml:space="preserve">U3O8 total (ppm)</t>
  </si>
  <si>
    <t xml:space="preserve">U3O8 solúvel (ppm)</t>
  </si>
  <si>
    <t xml:space="preserve">U3O8 fixo (ppm)</t>
  </si>
  <si>
    <t xml:space="preserve">ThO2 (ppm, como reportado)</t>
  </si>
  <si>
    <t xml:space="preserve">ThO2 numérico (ppm)</t>
  </si>
  <si>
    <t xml:space="preserve">% solúvel</t>
  </si>
  <si>
    <t xml:space="preserve">ThO2/U3O8</t>
  </si>
  <si>
    <t xml:space="preserve">|U − mediana fundo| (aux.)</t>
  </si>
  <si>
    <t xml:space="preserve">CV03</t>
  </si>
  <si>
    <t xml:space="preserve">Superfície</t>
  </si>
  <si>
    <t xml:space="preserve">CV (superfície)</t>
  </si>
  <si>
    <t xml:space="preserve">&lt;100</t>
  </si>
  <si>
    <t xml:space="preserve">CV07</t>
  </si>
  <si>
    <t xml:space="preserve">CV07A</t>
  </si>
  <si>
    <t xml:space="preserve">CV11</t>
  </si>
  <si>
    <t xml:space="preserve">CV17</t>
  </si>
  <si>
    <t xml:space="preserve">CV17A</t>
  </si>
  <si>
    <t xml:space="preserve">CV25</t>
  </si>
  <si>
    <t xml:space="preserve">F1 33,90</t>
  </si>
  <si>
    <t xml:space="preserve">Subsuperfície</t>
  </si>
  <si>
    <t xml:space="preserve">F1</t>
  </si>
  <si>
    <t xml:space="preserve">F2 37,85</t>
  </si>
  <si>
    <t xml:space="preserve">F2</t>
  </si>
  <si>
    <t xml:space="preserve">F2 50,50</t>
  </si>
  <si>
    <t xml:space="preserve">F2 63,65</t>
  </si>
  <si>
    <t xml:space="preserve">F2 64,90</t>
  </si>
  <si>
    <t xml:space="preserve">F2 68,90</t>
  </si>
  <si>
    <t xml:space="preserve">S3 34,90</t>
  </si>
  <si>
    <t xml:space="preserve">S3</t>
  </si>
  <si>
    <t xml:space="preserve">S3 53,45</t>
  </si>
  <si>
    <t xml:space="preserve">S3 66,15</t>
  </si>
  <si>
    <t xml:space="preserve">S7 18,90</t>
  </si>
  <si>
    <t xml:space="preserve">S7</t>
  </si>
  <si>
    <t xml:space="preserve">S8 23,50</t>
  </si>
  <si>
    <t xml:space="preserve">S8</t>
  </si>
  <si>
    <t xml:space="preserve">S8 33,50</t>
  </si>
  <si>
    <t xml:space="preserve">S8 48,25</t>
  </si>
  <si>
    <t xml:space="preserve">S8 70,50</t>
  </si>
  <si>
    <t xml:space="preserve">S8 76,70</t>
  </si>
  <si>
    <t xml:space="preserve">S8 83,25</t>
  </si>
  <si>
    <t xml:space="preserve">S9 79,15</t>
  </si>
  <si>
    <t xml:space="preserve">S9</t>
  </si>
  <si>
    <t xml:space="preserve">S9 82,70</t>
  </si>
  <si>
    <t xml:space="preserve">S16 22,70</t>
  </si>
  <si>
    <t xml:space="preserve">S16</t>
  </si>
  <si>
    <t xml:space="preserve">F1 54,80</t>
  </si>
  <si>
    <t xml:space="preserve">Dique félsico anômalo</t>
  </si>
  <si>
    <t xml:space="preserve">F2 77,75</t>
  </si>
  <si>
    <t xml:space="preserve">F7 130,15</t>
  </si>
  <si>
    <t xml:space="preserve">F7</t>
  </si>
  <si>
    <t xml:space="preserve">S2 114,60</t>
  </si>
  <si>
    <t xml:space="preserve">S2</t>
  </si>
  <si>
    <t xml:space="preserve">S3 21,35</t>
  </si>
  <si>
    <t xml:space="preserve">S3 28,10</t>
  </si>
  <si>
    <t xml:space="preserve">S3 45,48</t>
  </si>
  <si>
    <t xml:space="preserve">S3 60,50</t>
  </si>
  <si>
    <t xml:space="preserve">S8 141,90</t>
  </si>
  <si>
    <t xml:space="preserve">S9 80,20</t>
  </si>
  <si>
    <t xml:space="preserve">S9 109,80</t>
  </si>
  <si>
    <t xml:space="preserve">S3 16,20</t>
  </si>
  <si>
    <t xml:space="preserve">Fonte: tabelas fornecidas pela usuária (imagem). Texto azul = valor transcrito; preto = fórmula.</t>
  </si>
  <si>
    <t xml:space="preserve">* Profundidade inferida do código da amostra (ex.: 'F2 63,65' = furo F2, 63,65 m). CV = superfície (0 m). Confirmar com a fonte.</t>
  </si>
  <si>
    <t xml:space="preserve">'–' na tabela original = sem análise; células deixadas em branco (CV03 e S9 109,80 sem solúvel/fixo).</t>
  </si>
  <si>
    <t xml:space="preserve">ThO2 '&lt;100' = abaixo do limite de detecção; coluna numérica deixada em branco nesses casos.</t>
  </si>
  <si>
    <t xml:space="preserve">Grupos: Superfície = CV (Tab. 1); Subsuperfície = F e S da Tab. 1; Dique félsico anômalo = Tab. 2 (também subsuperfície).</t>
  </si>
  <si>
    <t xml:space="preserve">Estatística descritiva de U3O8 por grupo</t>
  </si>
  <si>
    <t xml:space="preserve">U3O8 TOTAL (ppm)</t>
  </si>
  <si>
    <t xml:space="preserve">Superfície (CV)</t>
  </si>
  <si>
    <t xml:space="preserve">Subsuperfície – Tab. 1 (F, S)</t>
  </si>
  <si>
    <t xml:space="preserve">Diques félsicos anômalos (Tab. 2)</t>
  </si>
  <si>
    <t xml:space="preserve">Diques s/ S3 16,20</t>
  </si>
  <si>
    <t xml:space="preserve">Subsuperfície total</t>
  </si>
  <si>
    <t xml:space="preserve">Fundo: CV + Tab. 1</t>
  </si>
  <si>
    <t xml:space="preserve">n</t>
  </si>
  <si>
    <t xml:space="preserve">Média</t>
  </si>
  <si>
    <t xml:space="preserve">Mediana</t>
  </si>
  <si>
    <t xml:space="preserve">Média geométrica</t>
  </si>
  <si>
    <t xml:space="preserve">Desvio padrão</t>
  </si>
  <si>
    <t xml:space="preserve">Coef. de variação</t>
  </si>
  <si>
    <t xml:space="preserve">Mínimo</t>
  </si>
  <si>
    <t xml:space="preserve">1º quartil</t>
  </si>
  <si>
    <t xml:space="preserve">3º quartil</t>
  </si>
  <si>
    <t xml:space="preserve">Máximo</t>
  </si>
  <si>
    <t xml:space="preserve">U3O8 SOLÚVEL (ppm)</t>
  </si>
  <si>
    <t xml:space="preserve">U3O8 FIXO (ppm)</t>
  </si>
  <si>
    <t xml:space="preserve">FRAÇÃO SOLÚVEL (% do total)</t>
  </si>
  <si>
    <t xml:space="preserve">LIMIAR DE ANOMALIA (U3O8 total, a partir do fundo CV + Tab. 1)</t>
  </si>
  <si>
    <t xml:space="preserve">Média + 2·DP (ppm)</t>
  </si>
  <si>
    <t xml:space="preserve">Mediana + 2·MAD (ppm)</t>
  </si>
  <si>
    <t xml:space="preserve">MAD escalado (×1,4826), robusto a outliers</t>
  </si>
  <si>
    <t xml:space="preserve">Amostras de fundo (CV + Tab. 1) acima do limiar (média+2DP)</t>
  </si>
  <si>
    <t xml:space="preserve">Diques (Tab. 2) acima do limiar (média+2DP)</t>
  </si>
  <si>
    <t xml:space="preserve">Testes estatísticos não paramétricos (α = 0,05)</t>
  </si>
  <si>
    <t xml:space="preserve">Valores calculados em Python/SciPy (não recalculam no Excel). Testes não paramétricos escolhidos porque as distribuições são assimétricas e n é pequeno.</t>
  </si>
  <si>
    <t xml:space="preserve">Comparação</t>
  </si>
  <si>
    <t xml:space="preserve">Teste</t>
  </si>
  <si>
    <t xml:space="preserve">Estatística</t>
  </si>
  <si>
    <t xml:space="preserve">p-valor</t>
  </si>
  <si>
    <t xml:space="preserve">Significativo?</t>
  </si>
  <si>
    <t xml:space="preserve">U total: Superfície × Subsuperfície Tab. 1</t>
  </si>
  <si>
    <t xml:space="preserve">Mann-Whitney U (bilateral)</t>
  </si>
  <si>
    <t xml:space="preserve">U total: Superfície × Diques</t>
  </si>
  <si>
    <t xml:space="preserve">U total: Subsuperfície Tab. 1 × Diques</t>
  </si>
  <si>
    <t xml:space="preserve">U total: Superfície × Subsuperfície total</t>
  </si>
  <si>
    <t xml:space="preserve">% solúvel: Superfície × Subsuperfície Tab. 1</t>
  </si>
  <si>
    <t xml:space="preserve">U fixo: Superfície × Subsuperfície Tab. 1</t>
  </si>
  <si>
    <t xml:space="preserve">U fixo: Subsuperfície Tab. 1 × Diques</t>
  </si>
  <si>
    <t xml:space="preserve">U total × ThO2 nos diques (n=12)</t>
  </si>
  <si>
    <t xml:space="preserve">Spearman ρ</t>
  </si>
  <si>
    <t xml:space="preserve">U total × ThO2 nos diques sem S3 16,20 (n=11)</t>
  </si>
  <si>
    <t xml:space="preserve">U total × profundidade (subsuperfície, n=31)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</si>
</sst>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"/>
    <numFmt numFmtId="167" formatCode="0"/>
    <numFmt numFmtId="168" formatCode="0%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31680</xdr:colOff>
      <xdr:row>24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3" t="n">
        <v>1</v>
      </c>
      <c r="C2" s="3" t="s">
        <v>14</v>
      </c>
      <c r="D2" s="3" t="s">
        <v>15</v>
      </c>
      <c r="E2" s="4" t="n">
        <v>0</v>
      </c>
      <c r="F2" s="5" t="n">
        <v>8</v>
      </c>
      <c r="G2" s="5"/>
      <c r="H2" s="5"/>
      <c r="I2" s="4" t="s">
        <v>16</v>
      </c>
      <c r="J2" s="5"/>
      <c r="K2" s="6" t="str">
        <f aca="false">IF(G2="","",G2/F2)</f>
        <v/>
      </c>
      <c r="L2" s="7" t="str">
        <f aca="false">IF(J2="","",J2/F2)</f>
        <v/>
      </c>
      <c r="M2" s="8" t="n">
        <f aca="false">ABS(F2-MEDIAN($F$2:$F$27))</f>
        <v>0.5</v>
      </c>
    </row>
    <row r="3" customFormat="false" ht="15" hidden="false" customHeight="false" outlineLevel="0" collapsed="false">
      <c r="A3" s="3" t="s">
        <v>17</v>
      </c>
      <c r="B3" s="3" t="n">
        <v>1</v>
      </c>
      <c r="C3" s="3" t="s">
        <v>14</v>
      </c>
      <c r="D3" s="3" t="s">
        <v>15</v>
      </c>
      <c r="E3" s="4" t="n">
        <v>0</v>
      </c>
      <c r="F3" s="5" t="n">
        <v>7</v>
      </c>
      <c r="G3" s="5" t="n">
        <v>4.8</v>
      </c>
      <c r="H3" s="5" t="n">
        <v>2.2</v>
      </c>
      <c r="I3" s="4" t="s">
        <v>16</v>
      </c>
      <c r="J3" s="5"/>
      <c r="K3" s="6" t="n">
        <f aca="false">IF(G3="","",G3/F3)</f>
        <v>0.685714285714286</v>
      </c>
      <c r="L3" s="7" t="str">
        <f aca="false">IF(J3="","",J3/F3)</f>
        <v/>
      </c>
      <c r="M3" s="8" t="n">
        <f aca="false">ABS(F3-MEDIAN($F$2:$F$27))</f>
        <v>1.5</v>
      </c>
    </row>
    <row r="4" customFormat="false" ht="15" hidden="false" customHeight="false" outlineLevel="0" collapsed="false">
      <c r="A4" s="3" t="s">
        <v>18</v>
      </c>
      <c r="B4" s="3" t="n">
        <v>1</v>
      </c>
      <c r="C4" s="3" t="s">
        <v>14</v>
      </c>
      <c r="D4" s="3" t="s">
        <v>15</v>
      </c>
      <c r="E4" s="4" t="n">
        <v>0</v>
      </c>
      <c r="F4" s="5" t="n">
        <v>9</v>
      </c>
      <c r="G4" s="5" t="n">
        <v>7.12</v>
      </c>
      <c r="H4" s="5" t="n">
        <v>1.88</v>
      </c>
      <c r="I4" s="4" t="s">
        <v>16</v>
      </c>
      <c r="J4" s="5"/>
      <c r="K4" s="6" t="n">
        <f aca="false">IF(G4="","",G4/F4)</f>
        <v>0.791111111111111</v>
      </c>
      <c r="L4" s="7" t="str">
        <f aca="false">IF(J4="","",J4/F4)</f>
        <v/>
      </c>
      <c r="M4" s="8" t="n">
        <f aca="false">ABS(F4-MEDIAN($F$2:$F$27))</f>
        <v>0.5</v>
      </c>
    </row>
    <row r="5" customFormat="false" ht="15" hidden="false" customHeight="false" outlineLevel="0" collapsed="false">
      <c r="A5" s="3" t="s">
        <v>19</v>
      </c>
      <c r="B5" s="3" t="n">
        <v>1</v>
      </c>
      <c r="C5" s="3" t="s">
        <v>14</v>
      </c>
      <c r="D5" s="3" t="s">
        <v>15</v>
      </c>
      <c r="E5" s="4" t="n">
        <v>0</v>
      </c>
      <c r="F5" s="5" t="n">
        <v>5</v>
      </c>
      <c r="G5" s="5" t="n">
        <v>1.5</v>
      </c>
      <c r="H5" s="5" t="n">
        <v>3.5</v>
      </c>
      <c r="I5" s="4" t="s">
        <v>16</v>
      </c>
      <c r="J5" s="5"/>
      <c r="K5" s="6" t="n">
        <f aca="false">IF(G5="","",G5/F5)</f>
        <v>0.3</v>
      </c>
      <c r="L5" s="7" t="str">
        <f aca="false">IF(J5="","",J5/F5)</f>
        <v/>
      </c>
      <c r="M5" s="8" t="n">
        <f aca="false">ABS(F5-MEDIAN($F$2:$F$27))</f>
        <v>3.5</v>
      </c>
    </row>
    <row r="6" customFormat="false" ht="15" hidden="false" customHeight="false" outlineLevel="0" collapsed="false">
      <c r="A6" s="3" t="s">
        <v>20</v>
      </c>
      <c r="B6" s="3" t="n">
        <v>1</v>
      </c>
      <c r="C6" s="3" t="s">
        <v>14</v>
      </c>
      <c r="D6" s="3" t="s">
        <v>15</v>
      </c>
      <c r="E6" s="4" t="n">
        <v>0</v>
      </c>
      <c r="F6" s="5" t="n">
        <v>11</v>
      </c>
      <c r="G6" s="5" t="n">
        <v>6.2</v>
      </c>
      <c r="H6" s="5" t="n">
        <v>4.8</v>
      </c>
      <c r="I6" s="4" t="s">
        <v>16</v>
      </c>
      <c r="J6" s="5"/>
      <c r="K6" s="6" t="n">
        <f aca="false">IF(G6="","",G6/F6)</f>
        <v>0.563636363636364</v>
      </c>
      <c r="L6" s="7" t="str">
        <f aca="false">IF(J6="","",J6/F6)</f>
        <v/>
      </c>
      <c r="M6" s="8" t="n">
        <f aca="false">ABS(F6-MEDIAN($F$2:$F$27))</f>
        <v>2.5</v>
      </c>
    </row>
    <row r="7" customFormat="false" ht="15" hidden="false" customHeight="false" outlineLevel="0" collapsed="false">
      <c r="A7" s="3" t="s">
        <v>21</v>
      </c>
      <c r="B7" s="3" t="n">
        <v>1</v>
      </c>
      <c r="C7" s="3" t="s">
        <v>14</v>
      </c>
      <c r="D7" s="3" t="s">
        <v>15</v>
      </c>
      <c r="E7" s="4" t="n">
        <v>0</v>
      </c>
      <c r="F7" s="5" t="n">
        <v>12</v>
      </c>
      <c r="G7" s="5" t="n">
        <v>8.04</v>
      </c>
      <c r="H7" s="5" t="n">
        <v>3.96</v>
      </c>
      <c r="I7" s="4" t="s">
        <v>16</v>
      </c>
      <c r="J7" s="5"/>
      <c r="K7" s="6" t="n">
        <f aca="false">IF(G7="","",G7/F7)</f>
        <v>0.67</v>
      </c>
      <c r="L7" s="7" t="str">
        <f aca="false">IF(J7="","",J7/F7)</f>
        <v/>
      </c>
      <c r="M7" s="8" t="n">
        <f aca="false">ABS(F7-MEDIAN($F$2:$F$27))</f>
        <v>3.5</v>
      </c>
    </row>
    <row r="8" customFormat="false" ht="15" hidden="false" customHeight="false" outlineLevel="0" collapsed="false">
      <c r="A8" s="3" t="s">
        <v>22</v>
      </c>
      <c r="B8" s="3" t="n">
        <v>1</v>
      </c>
      <c r="C8" s="3" t="s">
        <v>14</v>
      </c>
      <c r="D8" s="3" t="s">
        <v>15</v>
      </c>
      <c r="E8" s="4" t="n">
        <v>0</v>
      </c>
      <c r="F8" s="5" t="n">
        <v>9</v>
      </c>
      <c r="G8" s="5" t="n">
        <v>2.7</v>
      </c>
      <c r="H8" s="5" t="n">
        <v>6.3</v>
      </c>
      <c r="I8" s="4" t="s">
        <v>16</v>
      </c>
      <c r="J8" s="5"/>
      <c r="K8" s="6" t="n">
        <f aca="false">IF(G8="","",G8/F8)</f>
        <v>0.3</v>
      </c>
      <c r="L8" s="7" t="str">
        <f aca="false">IF(J8="","",J8/F8)</f>
        <v/>
      </c>
      <c r="M8" s="8" t="n">
        <f aca="false">ABS(F8-MEDIAN($F$2:$F$27))</f>
        <v>0.5</v>
      </c>
    </row>
    <row r="9" customFormat="false" ht="15" hidden="false" customHeight="false" outlineLevel="0" collapsed="false">
      <c r="A9" s="9" t="s">
        <v>23</v>
      </c>
      <c r="B9" s="9" t="n">
        <v>1</v>
      </c>
      <c r="C9" s="9" t="s">
        <v>24</v>
      </c>
      <c r="D9" s="9" t="s">
        <v>25</v>
      </c>
      <c r="E9" s="10" t="n">
        <v>33.9</v>
      </c>
      <c r="F9" s="11" t="n">
        <v>4</v>
      </c>
      <c r="G9" s="11" t="n">
        <v>3.29</v>
      </c>
      <c r="H9" s="11" t="n">
        <v>0.71</v>
      </c>
      <c r="I9" s="10" t="s">
        <v>16</v>
      </c>
      <c r="J9" s="11"/>
      <c r="K9" s="12" t="n">
        <f aca="false">IF(G9="","",G9/F9)</f>
        <v>0.8225</v>
      </c>
      <c r="L9" s="13" t="str">
        <f aca="false">IF(J9="","",J9/F9)</f>
        <v/>
      </c>
      <c r="M9" s="8" t="n">
        <f aca="false">ABS(F9-MEDIAN($F$2:$F$27))</f>
        <v>4.5</v>
      </c>
    </row>
    <row r="10" customFormat="false" ht="15" hidden="false" customHeight="false" outlineLevel="0" collapsed="false">
      <c r="A10" s="9" t="s">
        <v>26</v>
      </c>
      <c r="B10" s="9" t="n">
        <v>1</v>
      </c>
      <c r="C10" s="9" t="s">
        <v>24</v>
      </c>
      <c r="D10" s="9" t="s">
        <v>27</v>
      </c>
      <c r="E10" s="10" t="n">
        <v>37.85</v>
      </c>
      <c r="F10" s="11" t="n">
        <v>10</v>
      </c>
      <c r="G10" s="11" t="n">
        <v>4.19</v>
      </c>
      <c r="H10" s="11" t="n">
        <v>5.81</v>
      </c>
      <c r="I10" s="10" t="s">
        <v>16</v>
      </c>
      <c r="J10" s="11"/>
      <c r="K10" s="12" t="n">
        <f aca="false">IF(G10="","",G10/F10)</f>
        <v>0.419</v>
      </c>
      <c r="L10" s="13" t="str">
        <f aca="false">IF(J10="","",J10/F10)</f>
        <v/>
      </c>
      <c r="M10" s="8" t="n">
        <f aca="false">ABS(F10-MEDIAN($F$2:$F$27))</f>
        <v>1.5</v>
      </c>
    </row>
    <row r="11" customFormat="false" ht="15" hidden="false" customHeight="false" outlineLevel="0" collapsed="false">
      <c r="A11" s="9" t="s">
        <v>28</v>
      </c>
      <c r="B11" s="9" t="n">
        <v>1</v>
      </c>
      <c r="C11" s="9" t="s">
        <v>24</v>
      </c>
      <c r="D11" s="9" t="s">
        <v>27</v>
      </c>
      <c r="E11" s="10" t="n">
        <v>50.5</v>
      </c>
      <c r="F11" s="11" t="n">
        <v>7</v>
      </c>
      <c r="G11" s="11" t="n">
        <v>3.83</v>
      </c>
      <c r="H11" s="11" t="n">
        <v>3.17</v>
      </c>
      <c r="I11" s="10" t="s">
        <v>16</v>
      </c>
      <c r="J11" s="11"/>
      <c r="K11" s="12" t="n">
        <f aca="false">IF(G11="","",G11/F11)</f>
        <v>0.547142857142857</v>
      </c>
      <c r="L11" s="13" t="str">
        <f aca="false">IF(J11="","",J11/F11)</f>
        <v/>
      </c>
      <c r="M11" s="8" t="n">
        <f aca="false">ABS(F11-MEDIAN($F$2:$F$27))</f>
        <v>1.5</v>
      </c>
    </row>
    <row r="12" customFormat="false" ht="15" hidden="false" customHeight="false" outlineLevel="0" collapsed="false">
      <c r="A12" s="9" t="s">
        <v>29</v>
      </c>
      <c r="B12" s="9" t="n">
        <v>1</v>
      </c>
      <c r="C12" s="9" t="s">
        <v>24</v>
      </c>
      <c r="D12" s="9" t="s">
        <v>27</v>
      </c>
      <c r="E12" s="10" t="n">
        <v>63.65</v>
      </c>
      <c r="F12" s="11" t="n">
        <v>14</v>
      </c>
      <c r="G12" s="11" t="n">
        <v>8.02</v>
      </c>
      <c r="H12" s="11" t="n">
        <v>5.98</v>
      </c>
      <c r="I12" s="10" t="s">
        <v>16</v>
      </c>
      <c r="J12" s="11"/>
      <c r="K12" s="12" t="n">
        <f aca="false">IF(G12="","",G12/F12)</f>
        <v>0.572857142857143</v>
      </c>
      <c r="L12" s="13" t="str">
        <f aca="false">IF(J12="","",J12/F12)</f>
        <v/>
      </c>
      <c r="M12" s="8" t="n">
        <f aca="false">ABS(F12-MEDIAN($F$2:$F$27))</f>
        <v>5.5</v>
      </c>
    </row>
    <row r="13" customFormat="false" ht="15" hidden="false" customHeight="false" outlineLevel="0" collapsed="false">
      <c r="A13" s="9" t="s">
        <v>30</v>
      </c>
      <c r="B13" s="9" t="n">
        <v>1</v>
      </c>
      <c r="C13" s="9" t="s">
        <v>24</v>
      </c>
      <c r="D13" s="9" t="s">
        <v>27</v>
      </c>
      <c r="E13" s="10" t="n">
        <v>64.9</v>
      </c>
      <c r="F13" s="11" t="n">
        <v>19</v>
      </c>
      <c r="G13" s="11" t="n">
        <v>13.52</v>
      </c>
      <c r="H13" s="11" t="n">
        <v>5.48</v>
      </c>
      <c r="I13" s="10" t="s">
        <v>16</v>
      </c>
      <c r="J13" s="11"/>
      <c r="K13" s="12" t="n">
        <f aca="false">IF(G13="","",G13/F13)</f>
        <v>0.711578947368421</v>
      </c>
      <c r="L13" s="13" t="str">
        <f aca="false">IF(J13="","",J13/F13)</f>
        <v/>
      </c>
      <c r="M13" s="8" t="n">
        <f aca="false">ABS(F13-MEDIAN($F$2:$F$27))</f>
        <v>10.5</v>
      </c>
    </row>
    <row r="14" customFormat="false" ht="15" hidden="false" customHeight="false" outlineLevel="0" collapsed="false">
      <c r="A14" s="9" t="s">
        <v>31</v>
      </c>
      <c r="B14" s="9" t="n">
        <v>1</v>
      </c>
      <c r="C14" s="9" t="s">
        <v>24</v>
      </c>
      <c r="D14" s="9" t="s">
        <v>27</v>
      </c>
      <c r="E14" s="10" t="n">
        <v>68.9</v>
      </c>
      <c r="F14" s="11" t="n">
        <v>6</v>
      </c>
      <c r="G14" s="11" t="n">
        <v>3.83</v>
      </c>
      <c r="H14" s="11" t="n">
        <v>2.17</v>
      </c>
      <c r="I14" s="10" t="s">
        <v>16</v>
      </c>
      <c r="J14" s="11"/>
      <c r="K14" s="12" t="n">
        <f aca="false">IF(G14="","",G14/F14)</f>
        <v>0.638333333333333</v>
      </c>
      <c r="L14" s="13" t="str">
        <f aca="false">IF(J14="","",J14/F14)</f>
        <v/>
      </c>
      <c r="M14" s="8" t="n">
        <f aca="false">ABS(F14-MEDIAN($F$2:$F$27))</f>
        <v>2.5</v>
      </c>
    </row>
    <row r="15" customFormat="false" ht="15" hidden="false" customHeight="false" outlineLevel="0" collapsed="false">
      <c r="A15" s="9" t="s">
        <v>32</v>
      </c>
      <c r="B15" s="9" t="n">
        <v>1</v>
      </c>
      <c r="C15" s="9" t="s">
        <v>24</v>
      </c>
      <c r="D15" s="9" t="s">
        <v>33</v>
      </c>
      <c r="E15" s="10" t="n">
        <v>34.9</v>
      </c>
      <c r="F15" s="11" t="n">
        <v>12</v>
      </c>
      <c r="G15" s="11" t="n">
        <v>9.78</v>
      </c>
      <c r="H15" s="11" t="n">
        <v>2.22</v>
      </c>
      <c r="I15" s="10" t="s">
        <v>16</v>
      </c>
      <c r="J15" s="11"/>
      <c r="K15" s="12" t="n">
        <f aca="false">IF(G15="","",G15/F15)</f>
        <v>0.815</v>
      </c>
      <c r="L15" s="13" t="str">
        <f aca="false">IF(J15="","",J15/F15)</f>
        <v/>
      </c>
      <c r="M15" s="8" t="n">
        <f aca="false">ABS(F15-MEDIAN($F$2:$F$27))</f>
        <v>3.5</v>
      </c>
    </row>
    <row r="16" customFormat="false" ht="15" hidden="false" customHeight="false" outlineLevel="0" collapsed="false">
      <c r="A16" s="9" t="s">
        <v>34</v>
      </c>
      <c r="B16" s="9" t="n">
        <v>1</v>
      </c>
      <c r="C16" s="9" t="s">
        <v>24</v>
      </c>
      <c r="D16" s="9" t="s">
        <v>33</v>
      </c>
      <c r="E16" s="10" t="n">
        <v>53.45</v>
      </c>
      <c r="F16" s="11" t="n">
        <v>8</v>
      </c>
      <c r="G16" s="11" t="n">
        <v>5.67</v>
      </c>
      <c r="H16" s="11" t="n">
        <v>2.33</v>
      </c>
      <c r="I16" s="10" t="s">
        <v>16</v>
      </c>
      <c r="J16" s="11"/>
      <c r="K16" s="12" t="n">
        <f aca="false">IF(G16="","",G16/F16)</f>
        <v>0.70875</v>
      </c>
      <c r="L16" s="13" t="str">
        <f aca="false">IF(J16="","",J16/F16)</f>
        <v/>
      </c>
      <c r="M16" s="8" t="n">
        <f aca="false">ABS(F16-MEDIAN($F$2:$F$27))</f>
        <v>0.5</v>
      </c>
    </row>
    <row r="17" customFormat="false" ht="15" hidden="false" customHeight="false" outlineLevel="0" collapsed="false">
      <c r="A17" s="9" t="s">
        <v>35</v>
      </c>
      <c r="B17" s="9" t="n">
        <v>1</v>
      </c>
      <c r="C17" s="9" t="s">
        <v>24</v>
      </c>
      <c r="D17" s="9" t="s">
        <v>33</v>
      </c>
      <c r="E17" s="10" t="n">
        <v>66.15</v>
      </c>
      <c r="F17" s="11" t="n">
        <v>5</v>
      </c>
      <c r="G17" s="11" t="n">
        <v>4.42</v>
      </c>
      <c r="H17" s="11" t="n">
        <v>0.58</v>
      </c>
      <c r="I17" s="10" t="s">
        <v>16</v>
      </c>
      <c r="J17" s="11"/>
      <c r="K17" s="12" t="n">
        <f aca="false">IF(G17="","",G17/F17)</f>
        <v>0.884</v>
      </c>
      <c r="L17" s="13" t="str">
        <f aca="false">IF(J17="","",J17/F17)</f>
        <v/>
      </c>
      <c r="M17" s="8" t="n">
        <f aca="false">ABS(F17-MEDIAN($F$2:$F$27))</f>
        <v>3.5</v>
      </c>
    </row>
    <row r="18" customFormat="false" ht="15" hidden="false" customHeight="false" outlineLevel="0" collapsed="false">
      <c r="A18" s="9" t="s">
        <v>36</v>
      </c>
      <c r="B18" s="9" t="n">
        <v>1</v>
      </c>
      <c r="C18" s="9" t="s">
        <v>24</v>
      </c>
      <c r="D18" s="9" t="s">
        <v>37</v>
      </c>
      <c r="E18" s="10" t="n">
        <v>18.9</v>
      </c>
      <c r="F18" s="11" t="n">
        <v>14</v>
      </c>
      <c r="G18" s="11" t="n">
        <v>12.93</v>
      </c>
      <c r="H18" s="11" t="n">
        <v>1.07</v>
      </c>
      <c r="I18" s="10" t="s">
        <v>16</v>
      </c>
      <c r="J18" s="11"/>
      <c r="K18" s="12" t="n">
        <f aca="false">IF(G18="","",G18/F18)</f>
        <v>0.923571428571429</v>
      </c>
      <c r="L18" s="13" t="str">
        <f aca="false">IF(J18="","",J18/F18)</f>
        <v/>
      </c>
      <c r="M18" s="8" t="n">
        <f aca="false">ABS(F18-MEDIAN($F$2:$F$27))</f>
        <v>5.5</v>
      </c>
    </row>
    <row r="19" customFormat="false" ht="15" hidden="false" customHeight="false" outlineLevel="0" collapsed="false">
      <c r="A19" s="9" t="s">
        <v>38</v>
      </c>
      <c r="B19" s="9" t="n">
        <v>1</v>
      </c>
      <c r="C19" s="9" t="s">
        <v>24</v>
      </c>
      <c r="D19" s="9" t="s">
        <v>39</v>
      </c>
      <c r="E19" s="10" t="n">
        <v>23.5</v>
      </c>
      <c r="F19" s="11" t="n">
        <v>8</v>
      </c>
      <c r="G19" s="11" t="n">
        <v>6.19</v>
      </c>
      <c r="H19" s="11" t="n">
        <v>1.81</v>
      </c>
      <c r="I19" s="10" t="s">
        <v>16</v>
      </c>
      <c r="J19" s="11"/>
      <c r="K19" s="12" t="n">
        <f aca="false">IF(G19="","",G19/F19)</f>
        <v>0.77375</v>
      </c>
      <c r="L19" s="13" t="str">
        <f aca="false">IF(J19="","",J19/F19)</f>
        <v/>
      </c>
      <c r="M19" s="8" t="n">
        <f aca="false">ABS(F19-MEDIAN($F$2:$F$27))</f>
        <v>0.5</v>
      </c>
    </row>
    <row r="20" customFormat="false" ht="15" hidden="false" customHeight="false" outlineLevel="0" collapsed="false">
      <c r="A20" s="9" t="s">
        <v>40</v>
      </c>
      <c r="B20" s="9" t="n">
        <v>1</v>
      </c>
      <c r="C20" s="9" t="s">
        <v>24</v>
      </c>
      <c r="D20" s="9" t="s">
        <v>39</v>
      </c>
      <c r="E20" s="10" t="n">
        <v>33.5</v>
      </c>
      <c r="F20" s="11" t="n">
        <v>5</v>
      </c>
      <c r="G20" s="11" t="n">
        <v>3.75</v>
      </c>
      <c r="H20" s="11" t="n">
        <v>1.25</v>
      </c>
      <c r="I20" s="10" t="s">
        <v>16</v>
      </c>
      <c r="J20" s="11"/>
      <c r="K20" s="12" t="n">
        <f aca="false">IF(G20="","",G20/F20)</f>
        <v>0.75</v>
      </c>
      <c r="L20" s="13" t="str">
        <f aca="false">IF(J20="","",J20/F20)</f>
        <v/>
      </c>
      <c r="M20" s="8" t="n">
        <f aca="false">ABS(F20-MEDIAN($F$2:$F$27))</f>
        <v>3.5</v>
      </c>
    </row>
    <row r="21" customFormat="false" ht="15" hidden="false" customHeight="false" outlineLevel="0" collapsed="false">
      <c r="A21" s="9" t="s">
        <v>41</v>
      </c>
      <c r="B21" s="9" t="n">
        <v>1</v>
      </c>
      <c r="C21" s="9" t="s">
        <v>24</v>
      </c>
      <c r="D21" s="9" t="s">
        <v>39</v>
      </c>
      <c r="E21" s="10" t="n">
        <v>48.25</v>
      </c>
      <c r="F21" s="11" t="n">
        <v>11</v>
      </c>
      <c r="G21" s="11" t="n">
        <v>6.05</v>
      </c>
      <c r="H21" s="11" t="n">
        <v>4.95</v>
      </c>
      <c r="I21" s="10" t="s">
        <v>16</v>
      </c>
      <c r="J21" s="11"/>
      <c r="K21" s="12" t="n">
        <f aca="false">IF(G21="","",G21/F21)</f>
        <v>0.55</v>
      </c>
      <c r="L21" s="13" t="str">
        <f aca="false">IF(J21="","",J21/F21)</f>
        <v/>
      </c>
      <c r="M21" s="8" t="n">
        <f aca="false">ABS(F21-MEDIAN($F$2:$F$27))</f>
        <v>2.5</v>
      </c>
    </row>
    <row r="22" customFormat="false" ht="15" hidden="false" customHeight="false" outlineLevel="0" collapsed="false">
      <c r="A22" s="9" t="s">
        <v>42</v>
      </c>
      <c r="B22" s="9" t="n">
        <v>1</v>
      </c>
      <c r="C22" s="9" t="s">
        <v>24</v>
      </c>
      <c r="D22" s="9" t="s">
        <v>39</v>
      </c>
      <c r="E22" s="10" t="n">
        <v>70.5</v>
      </c>
      <c r="F22" s="11" t="n">
        <v>9</v>
      </c>
      <c r="G22" s="11" t="n">
        <v>7.32</v>
      </c>
      <c r="H22" s="11" t="n">
        <v>1.68</v>
      </c>
      <c r="I22" s="10" t="s">
        <v>16</v>
      </c>
      <c r="J22" s="11"/>
      <c r="K22" s="12" t="n">
        <f aca="false">IF(G22="","",G22/F22)</f>
        <v>0.813333333333333</v>
      </c>
      <c r="L22" s="13" t="str">
        <f aca="false">IF(J22="","",J22/F22)</f>
        <v/>
      </c>
      <c r="M22" s="8" t="n">
        <f aca="false">ABS(F22-MEDIAN($F$2:$F$27))</f>
        <v>0.5</v>
      </c>
    </row>
    <row r="23" customFormat="false" ht="15" hidden="false" customHeight="false" outlineLevel="0" collapsed="false">
      <c r="A23" s="9" t="s">
        <v>43</v>
      </c>
      <c r="B23" s="9" t="n">
        <v>1</v>
      </c>
      <c r="C23" s="9" t="s">
        <v>24</v>
      </c>
      <c r="D23" s="9" t="s">
        <v>39</v>
      </c>
      <c r="E23" s="10" t="n">
        <v>76.7</v>
      </c>
      <c r="F23" s="11" t="n">
        <v>8</v>
      </c>
      <c r="G23" s="11" t="n">
        <v>4.76</v>
      </c>
      <c r="H23" s="11" t="n">
        <v>3.24</v>
      </c>
      <c r="I23" s="10" t="s">
        <v>16</v>
      </c>
      <c r="J23" s="11"/>
      <c r="K23" s="12" t="n">
        <f aca="false">IF(G23="","",G23/F23)</f>
        <v>0.595</v>
      </c>
      <c r="L23" s="13" t="str">
        <f aca="false">IF(J23="","",J23/F23)</f>
        <v/>
      </c>
      <c r="M23" s="8" t="n">
        <f aca="false">ABS(F23-MEDIAN($F$2:$F$27))</f>
        <v>0.5</v>
      </c>
    </row>
    <row r="24" customFormat="false" ht="15" hidden="false" customHeight="false" outlineLevel="0" collapsed="false">
      <c r="A24" s="9" t="s">
        <v>44</v>
      </c>
      <c r="B24" s="9" t="n">
        <v>1</v>
      </c>
      <c r="C24" s="9" t="s">
        <v>24</v>
      </c>
      <c r="D24" s="9" t="s">
        <v>39</v>
      </c>
      <c r="E24" s="10" t="n">
        <v>83.25</v>
      </c>
      <c r="F24" s="11" t="n">
        <v>5</v>
      </c>
      <c r="G24" s="11" t="n">
        <v>3.67</v>
      </c>
      <c r="H24" s="11" t="n">
        <v>1.33</v>
      </c>
      <c r="I24" s="10" t="s">
        <v>16</v>
      </c>
      <c r="J24" s="11"/>
      <c r="K24" s="12" t="n">
        <f aca="false">IF(G24="","",G24/F24)</f>
        <v>0.734</v>
      </c>
      <c r="L24" s="13" t="str">
        <f aca="false">IF(J24="","",J24/F24)</f>
        <v/>
      </c>
      <c r="M24" s="8" t="n">
        <f aca="false">ABS(F24-MEDIAN($F$2:$F$27))</f>
        <v>3.5</v>
      </c>
    </row>
    <row r="25" customFormat="false" ht="15" hidden="false" customHeight="false" outlineLevel="0" collapsed="false">
      <c r="A25" s="9" t="s">
        <v>45</v>
      </c>
      <c r="B25" s="9" t="n">
        <v>1</v>
      </c>
      <c r="C25" s="9" t="s">
        <v>24</v>
      </c>
      <c r="D25" s="9" t="s">
        <v>46</v>
      </c>
      <c r="E25" s="10" t="n">
        <v>79.15</v>
      </c>
      <c r="F25" s="11" t="n">
        <v>26</v>
      </c>
      <c r="G25" s="11" t="n">
        <v>17.93</v>
      </c>
      <c r="H25" s="11" t="n">
        <v>8.07</v>
      </c>
      <c r="I25" s="10" t="n">
        <v>150</v>
      </c>
      <c r="J25" s="11" t="n">
        <v>150</v>
      </c>
      <c r="K25" s="12" t="n">
        <f aca="false">IF(G25="","",G25/F25)</f>
        <v>0.689615384615385</v>
      </c>
      <c r="L25" s="13" t="n">
        <f aca="false">IF(J25="","",J25/F25)</f>
        <v>5.76923076923077</v>
      </c>
      <c r="M25" s="8" t="n">
        <f aca="false">ABS(F25-MEDIAN($F$2:$F$27))</f>
        <v>17.5</v>
      </c>
    </row>
    <row r="26" customFormat="false" ht="15" hidden="false" customHeight="false" outlineLevel="0" collapsed="false">
      <c r="A26" s="9" t="s">
        <v>47</v>
      </c>
      <c r="B26" s="9" t="n">
        <v>1</v>
      </c>
      <c r="C26" s="9" t="s">
        <v>24</v>
      </c>
      <c r="D26" s="9" t="s">
        <v>46</v>
      </c>
      <c r="E26" s="10" t="n">
        <v>82.7</v>
      </c>
      <c r="F26" s="11" t="n">
        <v>19</v>
      </c>
      <c r="G26" s="11" t="n">
        <v>18.3</v>
      </c>
      <c r="H26" s="11" t="n">
        <v>0.7</v>
      </c>
      <c r="I26" s="10" t="n">
        <v>140</v>
      </c>
      <c r="J26" s="11" t="n">
        <v>140</v>
      </c>
      <c r="K26" s="12" t="n">
        <f aca="false">IF(G26="","",G26/F26)</f>
        <v>0.963157894736842</v>
      </c>
      <c r="L26" s="13" t="n">
        <f aca="false">IF(J26="","",J26/F26)</f>
        <v>7.36842105263158</v>
      </c>
      <c r="M26" s="8" t="n">
        <f aca="false">ABS(F26-MEDIAN($F$2:$F$27))</f>
        <v>10.5</v>
      </c>
    </row>
    <row r="27" customFormat="false" ht="15" hidden="false" customHeight="false" outlineLevel="0" collapsed="false">
      <c r="A27" s="9" t="s">
        <v>48</v>
      </c>
      <c r="B27" s="9" t="n">
        <v>1</v>
      </c>
      <c r="C27" s="9" t="s">
        <v>24</v>
      </c>
      <c r="D27" s="9" t="s">
        <v>49</v>
      </c>
      <c r="E27" s="10" t="n">
        <v>22.7</v>
      </c>
      <c r="F27" s="11" t="n">
        <v>7</v>
      </c>
      <c r="G27" s="11" t="n">
        <v>3.64</v>
      </c>
      <c r="H27" s="11" t="n">
        <v>3.36</v>
      </c>
      <c r="I27" s="10" t="s">
        <v>16</v>
      </c>
      <c r="J27" s="11"/>
      <c r="K27" s="12" t="n">
        <f aca="false">IF(G27="","",G27/F27)</f>
        <v>0.52</v>
      </c>
      <c r="L27" s="13" t="str">
        <f aca="false">IF(J27="","",J27/F27)</f>
        <v/>
      </c>
      <c r="M27" s="8" t="n">
        <f aca="false">ABS(F27-MEDIAN($F$2:$F$27))</f>
        <v>1.5</v>
      </c>
    </row>
    <row r="28" customFormat="false" ht="15" hidden="false" customHeight="false" outlineLevel="0" collapsed="false">
      <c r="A28" s="14" t="s">
        <v>50</v>
      </c>
      <c r="B28" s="14" t="n">
        <v>2</v>
      </c>
      <c r="C28" s="14" t="s">
        <v>51</v>
      </c>
      <c r="D28" s="14" t="s">
        <v>25</v>
      </c>
      <c r="E28" s="15" t="n">
        <v>54.8</v>
      </c>
      <c r="F28" s="16" t="n">
        <v>56</v>
      </c>
      <c r="G28" s="16" t="n">
        <v>36.08</v>
      </c>
      <c r="H28" s="16" t="n">
        <v>19.92</v>
      </c>
      <c r="I28" s="15" t="n">
        <v>270</v>
      </c>
      <c r="J28" s="16" t="n">
        <v>270</v>
      </c>
      <c r="K28" s="17" t="n">
        <f aca="false">IF(G28="","",G28/F28)</f>
        <v>0.644285714285714</v>
      </c>
      <c r="L28" s="18" t="n">
        <f aca="false">IF(J28="","",J28/F28)</f>
        <v>4.82142857142857</v>
      </c>
    </row>
    <row r="29" customFormat="false" ht="15" hidden="false" customHeight="false" outlineLevel="0" collapsed="false">
      <c r="A29" s="14" t="s">
        <v>52</v>
      </c>
      <c r="B29" s="14" t="n">
        <v>2</v>
      </c>
      <c r="C29" s="14" t="s">
        <v>51</v>
      </c>
      <c r="D29" s="14" t="s">
        <v>27</v>
      </c>
      <c r="E29" s="15" t="n">
        <v>77.75</v>
      </c>
      <c r="F29" s="16" t="n">
        <v>48</v>
      </c>
      <c r="G29" s="16" t="n">
        <v>34.27</v>
      </c>
      <c r="H29" s="16" t="n">
        <v>13.73</v>
      </c>
      <c r="I29" s="15" t="n">
        <v>240</v>
      </c>
      <c r="J29" s="16" t="n">
        <v>240</v>
      </c>
      <c r="K29" s="17" t="n">
        <f aca="false">IF(G29="","",G29/F29)</f>
        <v>0.713958333333333</v>
      </c>
      <c r="L29" s="18" t="n">
        <f aca="false">IF(J29="","",J29/F29)</f>
        <v>5</v>
      </c>
    </row>
    <row r="30" customFormat="false" ht="15" hidden="false" customHeight="false" outlineLevel="0" collapsed="false">
      <c r="A30" s="14" t="s">
        <v>53</v>
      </c>
      <c r="B30" s="14" t="n">
        <v>2</v>
      </c>
      <c r="C30" s="14" t="s">
        <v>51</v>
      </c>
      <c r="D30" s="14" t="s">
        <v>54</v>
      </c>
      <c r="E30" s="15" t="n">
        <v>130.15</v>
      </c>
      <c r="F30" s="16" t="n">
        <v>30</v>
      </c>
      <c r="G30" s="16" t="n">
        <v>21.55</v>
      </c>
      <c r="H30" s="16" t="n">
        <v>8.45</v>
      </c>
      <c r="I30" s="15" t="n">
        <v>250</v>
      </c>
      <c r="J30" s="16" t="n">
        <v>250</v>
      </c>
      <c r="K30" s="17" t="n">
        <f aca="false">IF(G30="","",G30/F30)</f>
        <v>0.718333333333333</v>
      </c>
      <c r="L30" s="18" t="n">
        <f aca="false">IF(J30="","",J30/F30)</f>
        <v>8.33333333333333</v>
      </c>
    </row>
    <row r="31" customFormat="false" ht="15" hidden="false" customHeight="false" outlineLevel="0" collapsed="false">
      <c r="A31" s="14" t="s">
        <v>55</v>
      </c>
      <c r="B31" s="14" t="n">
        <v>2</v>
      </c>
      <c r="C31" s="14" t="s">
        <v>51</v>
      </c>
      <c r="D31" s="14" t="s">
        <v>56</v>
      </c>
      <c r="E31" s="15" t="n">
        <v>114.6</v>
      </c>
      <c r="F31" s="16" t="n">
        <v>21</v>
      </c>
      <c r="G31" s="16" t="n">
        <v>3.7</v>
      </c>
      <c r="H31" s="16" t="n">
        <v>17.3</v>
      </c>
      <c r="I31" s="15" t="n">
        <v>180</v>
      </c>
      <c r="J31" s="16" t="n">
        <v>180</v>
      </c>
      <c r="K31" s="17" t="n">
        <f aca="false">IF(G31="","",G31/F31)</f>
        <v>0.176190476190476</v>
      </c>
      <c r="L31" s="18" t="n">
        <f aca="false">IF(J31="","",J31/F31)</f>
        <v>8.57142857142857</v>
      </c>
    </row>
    <row r="32" customFormat="false" ht="15" hidden="false" customHeight="false" outlineLevel="0" collapsed="false">
      <c r="A32" s="14" t="s">
        <v>57</v>
      </c>
      <c r="B32" s="14" t="n">
        <v>2</v>
      </c>
      <c r="C32" s="14" t="s">
        <v>51</v>
      </c>
      <c r="D32" s="14" t="s">
        <v>33</v>
      </c>
      <c r="E32" s="15" t="n">
        <v>21.35</v>
      </c>
      <c r="F32" s="16" t="n">
        <v>18</v>
      </c>
      <c r="G32" s="16" t="n">
        <v>14.15</v>
      </c>
      <c r="H32" s="16" t="n">
        <v>3.85</v>
      </c>
      <c r="I32" s="15" t="n">
        <v>220</v>
      </c>
      <c r="J32" s="16" t="n">
        <v>220</v>
      </c>
      <c r="K32" s="17" t="n">
        <f aca="false">IF(G32="","",G32/F32)</f>
        <v>0.786111111111111</v>
      </c>
      <c r="L32" s="18" t="n">
        <f aca="false">IF(J32="","",J32/F32)</f>
        <v>12.2222222222222</v>
      </c>
    </row>
    <row r="33" customFormat="false" ht="15" hidden="false" customHeight="false" outlineLevel="0" collapsed="false">
      <c r="A33" s="14" t="s">
        <v>58</v>
      </c>
      <c r="B33" s="14" t="n">
        <v>2</v>
      </c>
      <c r="C33" s="14" t="s">
        <v>51</v>
      </c>
      <c r="D33" s="14" t="s">
        <v>33</v>
      </c>
      <c r="E33" s="15" t="n">
        <v>28.1</v>
      </c>
      <c r="F33" s="16" t="n">
        <v>49</v>
      </c>
      <c r="G33" s="16" t="n">
        <v>29.54</v>
      </c>
      <c r="H33" s="16" t="n">
        <v>19.46</v>
      </c>
      <c r="I33" s="15" t="n">
        <v>210</v>
      </c>
      <c r="J33" s="16" t="n">
        <v>210</v>
      </c>
      <c r="K33" s="17" t="n">
        <f aca="false">IF(G33="","",G33/F33)</f>
        <v>0.602857142857143</v>
      </c>
      <c r="L33" s="18" t="n">
        <f aca="false">IF(J33="","",J33/F33)</f>
        <v>4.28571428571429</v>
      </c>
    </row>
    <row r="34" customFormat="false" ht="15" hidden="false" customHeight="false" outlineLevel="0" collapsed="false">
      <c r="A34" s="14" t="s">
        <v>59</v>
      </c>
      <c r="B34" s="14" t="n">
        <v>2</v>
      </c>
      <c r="C34" s="14" t="s">
        <v>51</v>
      </c>
      <c r="D34" s="14" t="s">
        <v>33</v>
      </c>
      <c r="E34" s="15" t="n">
        <v>45.48</v>
      </c>
      <c r="F34" s="16" t="n">
        <v>24</v>
      </c>
      <c r="G34" s="16" t="n">
        <v>19.11</v>
      </c>
      <c r="H34" s="16" t="n">
        <v>4.89</v>
      </c>
      <c r="I34" s="15" t="n">
        <v>240</v>
      </c>
      <c r="J34" s="16" t="n">
        <v>240</v>
      </c>
      <c r="K34" s="17" t="n">
        <f aca="false">IF(G34="","",G34/F34)</f>
        <v>0.79625</v>
      </c>
      <c r="L34" s="18" t="n">
        <f aca="false">IF(J34="","",J34/F34)</f>
        <v>10</v>
      </c>
    </row>
    <row r="35" customFormat="false" ht="15" hidden="false" customHeight="false" outlineLevel="0" collapsed="false">
      <c r="A35" s="14" t="s">
        <v>60</v>
      </c>
      <c r="B35" s="14" t="n">
        <v>2</v>
      </c>
      <c r="C35" s="14" t="s">
        <v>51</v>
      </c>
      <c r="D35" s="14" t="s">
        <v>33</v>
      </c>
      <c r="E35" s="15" t="n">
        <v>60.5</v>
      </c>
      <c r="F35" s="16" t="n">
        <v>36</v>
      </c>
      <c r="G35" s="16" t="n">
        <v>29.14</v>
      </c>
      <c r="H35" s="16" t="n">
        <v>6.86</v>
      </c>
      <c r="I35" s="15" t="n">
        <v>220</v>
      </c>
      <c r="J35" s="16" t="n">
        <v>220</v>
      </c>
      <c r="K35" s="17" t="n">
        <f aca="false">IF(G35="","",G35/F35)</f>
        <v>0.809444444444444</v>
      </c>
      <c r="L35" s="18" t="n">
        <f aca="false">IF(J35="","",J35/F35)</f>
        <v>6.11111111111111</v>
      </c>
    </row>
    <row r="36" customFormat="false" ht="15" hidden="false" customHeight="false" outlineLevel="0" collapsed="false">
      <c r="A36" s="14" t="s">
        <v>61</v>
      </c>
      <c r="B36" s="14" t="n">
        <v>2</v>
      </c>
      <c r="C36" s="14" t="s">
        <v>51</v>
      </c>
      <c r="D36" s="14" t="s">
        <v>39</v>
      </c>
      <c r="E36" s="15" t="n">
        <v>141.9</v>
      </c>
      <c r="F36" s="16" t="n">
        <v>50</v>
      </c>
      <c r="G36" s="16" t="n">
        <v>27.84</v>
      </c>
      <c r="H36" s="16" t="n">
        <v>22.16</v>
      </c>
      <c r="I36" s="15" t="n">
        <v>310</v>
      </c>
      <c r="J36" s="16" t="n">
        <v>310</v>
      </c>
      <c r="K36" s="17" t="n">
        <f aca="false">IF(G36="","",G36/F36)</f>
        <v>0.5568</v>
      </c>
      <c r="L36" s="18" t="n">
        <f aca="false">IF(J36="","",J36/F36)</f>
        <v>6.2</v>
      </c>
    </row>
    <row r="37" customFormat="false" ht="15" hidden="false" customHeight="false" outlineLevel="0" collapsed="false">
      <c r="A37" s="14" t="s">
        <v>62</v>
      </c>
      <c r="B37" s="14" t="n">
        <v>2</v>
      </c>
      <c r="C37" s="14" t="s">
        <v>51</v>
      </c>
      <c r="D37" s="14" t="s">
        <v>46</v>
      </c>
      <c r="E37" s="15" t="n">
        <v>80.2</v>
      </c>
      <c r="F37" s="16" t="n">
        <v>21</v>
      </c>
      <c r="G37" s="16" t="n">
        <v>15.56</v>
      </c>
      <c r="H37" s="16" t="n">
        <v>5.44</v>
      </c>
      <c r="I37" s="15" t="n">
        <v>110</v>
      </c>
      <c r="J37" s="16" t="n">
        <v>110</v>
      </c>
      <c r="K37" s="17" t="n">
        <f aca="false">IF(G37="","",G37/F37)</f>
        <v>0.740952380952381</v>
      </c>
      <c r="L37" s="18" t="n">
        <f aca="false">IF(J37="","",J37/F37)</f>
        <v>5.23809523809524</v>
      </c>
    </row>
    <row r="38" customFormat="false" ht="15" hidden="false" customHeight="false" outlineLevel="0" collapsed="false">
      <c r="A38" s="14" t="s">
        <v>63</v>
      </c>
      <c r="B38" s="14" t="n">
        <v>2</v>
      </c>
      <c r="C38" s="14" t="s">
        <v>51</v>
      </c>
      <c r="D38" s="14" t="s">
        <v>46</v>
      </c>
      <c r="E38" s="15" t="n">
        <v>109.8</v>
      </c>
      <c r="F38" s="16" t="n">
        <v>23</v>
      </c>
      <c r="G38" s="16"/>
      <c r="H38" s="16"/>
      <c r="I38" s="15" t="n">
        <v>120</v>
      </c>
      <c r="J38" s="16" t="n">
        <v>120</v>
      </c>
      <c r="K38" s="17" t="str">
        <f aca="false">IF(G38="","",G38/F38)</f>
        <v/>
      </c>
      <c r="L38" s="18" t="n">
        <f aca="false">IF(J38="","",J38/F38)</f>
        <v>5.21739130434783</v>
      </c>
    </row>
    <row r="39" customFormat="false" ht="15" hidden="false" customHeight="false" outlineLevel="0" collapsed="false">
      <c r="A39" s="14" t="s">
        <v>64</v>
      </c>
      <c r="B39" s="14" t="n">
        <v>2</v>
      </c>
      <c r="C39" s="14" t="s">
        <v>51</v>
      </c>
      <c r="D39" s="14" t="s">
        <v>33</v>
      </c>
      <c r="E39" s="15" t="n">
        <v>16.2</v>
      </c>
      <c r="F39" s="16" t="n">
        <v>2310</v>
      </c>
      <c r="G39" s="16" t="n">
        <v>2306.28</v>
      </c>
      <c r="H39" s="16" t="n">
        <v>3.72</v>
      </c>
      <c r="I39" s="15" t="n">
        <v>230</v>
      </c>
      <c r="J39" s="16" t="n">
        <v>230</v>
      </c>
      <c r="K39" s="17" t="n">
        <f aca="false">IF(G39="","",G39/F39)</f>
        <v>0.998389610389611</v>
      </c>
      <c r="L39" s="18" t="n">
        <f aca="false">IF(J39="","",J39/F39)</f>
        <v>0.0995670995670996</v>
      </c>
    </row>
    <row r="41" customFormat="false" ht="15" hidden="false" customHeight="false" outlineLevel="0" collapsed="false">
      <c r="A41" s="19" t="s">
        <v>65</v>
      </c>
    </row>
    <row r="42" customFormat="false" ht="15" hidden="false" customHeight="false" outlineLevel="0" collapsed="false">
      <c r="A42" s="19" t="s">
        <v>66</v>
      </c>
    </row>
    <row r="43" customFormat="false" ht="15" hidden="false" customHeight="false" outlineLevel="0" collapsed="false">
      <c r="A43" s="19" t="s">
        <v>67</v>
      </c>
    </row>
    <row r="44" customFormat="false" ht="15" hidden="false" customHeight="false" outlineLevel="0" collapsed="false">
      <c r="A44" s="19" t="s">
        <v>68</v>
      </c>
    </row>
    <row r="45" customFormat="false" ht="15" hidden="false" customHeight="false" outlineLevel="0" collapsed="false">
      <c r="A45" s="1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7"/>
  </cols>
  <sheetData>
    <row r="1" customFormat="false" ht="16.15" hidden="false" customHeight="false" outlineLevel="0" collapsed="false">
      <c r="A1" s="20" t="s">
        <v>70</v>
      </c>
    </row>
    <row r="3" customFormat="false" ht="42" hidden="false" customHeight="true" outlineLevel="0" collapsed="false">
      <c r="A3" s="21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</row>
    <row r="4" customFormat="false" ht="15" hidden="false" customHeight="false" outlineLevel="0" collapsed="false">
      <c r="A4" s="22" t="s">
        <v>78</v>
      </c>
      <c r="B4" s="23" t="n">
        <f aca="false">COUNT(Dados!F2:F8)</f>
        <v>7</v>
      </c>
      <c r="C4" s="23" t="n">
        <f aca="false">COUNT(Dados!F9:F27)</f>
        <v>19</v>
      </c>
      <c r="D4" s="23" t="n">
        <f aca="false">COUNT(Dados!F28:F39)</f>
        <v>12</v>
      </c>
      <c r="E4" s="23" t="n">
        <f aca="false">COUNT(Dados!F28:F38)</f>
        <v>11</v>
      </c>
      <c r="F4" s="23" t="n">
        <f aca="false">COUNT(Dados!F9:F39)</f>
        <v>31</v>
      </c>
      <c r="G4" s="23" t="n">
        <f aca="false">COUNT(Dados!F2:F27)</f>
        <v>26</v>
      </c>
    </row>
    <row r="5" customFormat="false" ht="15" hidden="false" customHeight="false" outlineLevel="0" collapsed="false">
      <c r="A5" s="22" t="s">
        <v>79</v>
      </c>
      <c r="B5" s="24" t="n">
        <f aca="false">AVERAGE(Dados!F2:F8)</f>
        <v>8.71428571428571</v>
      </c>
      <c r="C5" s="24" t="n">
        <f aca="false">AVERAGE(Dados!F9:F27)</f>
        <v>10.3684210526316</v>
      </c>
      <c r="D5" s="24" t="n">
        <f aca="false">AVERAGE(Dados!F28:F39)</f>
        <v>223.833333333333</v>
      </c>
      <c r="E5" s="24" t="n">
        <f aca="false">AVERAGE(Dados!F28:F38)</f>
        <v>34.1818181818182</v>
      </c>
      <c r="F5" s="24" t="n">
        <f aca="false">AVERAGE(Dados!F9:F39)</f>
        <v>93</v>
      </c>
      <c r="G5" s="24" t="n">
        <f aca="false">AVERAGE(Dados!F2:F27)</f>
        <v>9.92307692307692</v>
      </c>
    </row>
    <row r="6" customFormat="false" ht="15" hidden="false" customHeight="false" outlineLevel="0" collapsed="false">
      <c r="A6" s="22" t="s">
        <v>80</v>
      </c>
      <c r="B6" s="24" t="n">
        <f aca="false">MEDIAN(Dados!F2:F8)</f>
        <v>9</v>
      </c>
      <c r="C6" s="24" t="n">
        <f aca="false">MEDIAN(Dados!F9:F27)</f>
        <v>8</v>
      </c>
      <c r="D6" s="24" t="n">
        <f aca="false">MEDIAN(Dados!F28:F39)</f>
        <v>33</v>
      </c>
      <c r="E6" s="24" t="n">
        <f aca="false">MEDIAN(Dados!F28:F38)</f>
        <v>30</v>
      </c>
      <c r="F6" s="24" t="n">
        <f aca="false">MEDIAN(Dados!F9:F39)</f>
        <v>14</v>
      </c>
      <c r="G6" s="24" t="n">
        <f aca="false">MEDIAN(Dados!F2:F27)</f>
        <v>8.5</v>
      </c>
    </row>
    <row r="7" customFormat="false" ht="15" hidden="false" customHeight="false" outlineLevel="0" collapsed="false">
      <c r="A7" s="22" t="s">
        <v>81</v>
      </c>
      <c r="B7" s="24" t="n">
        <f aca="false">GEOMEAN(Dados!F2:F8)</f>
        <v>8.4173203196256</v>
      </c>
      <c r="C7" s="24" t="n">
        <f aca="false">GEOMEAN(Dados!F9:F27)</f>
        <v>9.09377551816961</v>
      </c>
      <c r="D7" s="24" t="n">
        <f aca="false">GEOMEAN(Dados!F28:F39)</f>
        <v>45.1620282453421</v>
      </c>
      <c r="E7" s="24" t="n">
        <f aca="false">GEOMEAN(Dados!F28:F38)</f>
        <v>31.5808983426757</v>
      </c>
      <c r="F7" s="24" t="n">
        <f aca="false">GEOMEAN(Dados!F9:F39)</f>
        <v>16.9112181079981</v>
      </c>
      <c r="G7" s="24" t="n">
        <f aca="false">GEOMEAN(Dados!F2:F27)</f>
        <v>8.90647906674177</v>
      </c>
    </row>
    <row r="8" customFormat="false" ht="15" hidden="false" customHeight="false" outlineLevel="0" collapsed="false">
      <c r="A8" s="22" t="s">
        <v>82</v>
      </c>
      <c r="B8" s="24" t="n">
        <f aca="false">STDEV(Dados!F2:F8)</f>
        <v>2.36038737740833</v>
      </c>
      <c r="C8" s="24" t="n">
        <f aca="false">STDEV(Dados!F9:F27)</f>
        <v>5.82342516924141</v>
      </c>
      <c r="D8" s="24" t="n">
        <f aca="false">STDEV(Dados!F28:F39)</f>
        <v>657.11017940585</v>
      </c>
      <c r="E8" s="24" t="n">
        <f aca="false">STDEV(Dados!F28:F38)</f>
        <v>14.1266994150664</v>
      </c>
      <c r="F8" s="24" t="n">
        <f aca="false">STDEV(Dados!F9:F39)</f>
        <v>411.723288953475</v>
      </c>
      <c r="G8" s="24" t="n">
        <f aca="false">STDEV(Dados!F2:F27)</f>
        <v>5.12970234554074</v>
      </c>
    </row>
    <row r="9" customFormat="false" ht="15" hidden="false" customHeight="false" outlineLevel="0" collapsed="false">
      <c r="A9" s="22" t="s">
        <v>83</v>
      </c>
      <c r="B9" s="25" t="n">
        <f aca="false">STDEV(Dados!F2:F8)/AVERAGE(Dados!F2:F8)</f>
        <v>0.270864125276366</v>
      </c>
      <c r="C9" s="25" t="n">
        <f aca="false">STDEV(Dados!F9:F27)/AVERAGE(Dados!F9:F27)</f>
        <v>0.561650143226329</v>
      </c>
      <c r="D9" s="25" t="n">
        <f aca="false">STDEV(Dados!F28:F39)/AVERAGE(Dados!F28:F39)</f>
        <v>2.93571189607975</v>
      </c>
      <c r="E9" s="25" t="n">
        <f aca="false">STDEV(Dados!F28:F38)/AVERAGE(Dados!F28:F38)</f>
        <v>0.413281099908856</v>
      </c>
      <c r="F9" s="25" t="n">
        <f aca="false">STDEV(Dados!F9:F39)/AVERAGE(Dados!F9:F39)</f>
        <v>4.42713213928468</v>
      </c>
      <c r="G9" s="25" t="n">
        <f aca="false">STDEV(Dados!F2:F27)/AVERAGE(Dados!F2:F27)</f>
        <v>0.516946748000229</v>
      </c>
    </row>
    <row r="10" customFormat="false" ht="15" hidden="false" customHeight="false" outlineLevel="0" collapsed="false">
      <c r="A10" s="22" t="s">
        <v>84</v>
      </c>
      <c r="B10" s="24" t="n">
        <f aca="false">MIN(Dados!F2:F8)</f>
        <v>5</v>
      </c>
      <c r="C10" s="24" t="n">
        <f aca="false">MIN(Dados!F9:F27)</f>
        <v>4</v>
      </c>
      <c r="D10" s="24" t="n">
        <f aca="false">MIN(Dados!F28:F39)</f>
        <v>18</v>
      </c>
      <c r="E10" s="24" t="n">
        <f aca="false">MIN(Dados!F28:F38)</f>
        <v>18</v>
      </c>
      <c r="F10" s="24" t="n">
        <f aca="false">MIN(Dados!F9:F39)</f>
        <v>4</v>
      </c>
      <c r="G10" s="24" t="n">
        <f aca="false">MIN(Dados!F2:F27)</f>
        <v>4</v>
      </c>
    </row>
    <row r="11" customFormat="false" ht="15" hidden="false" customHeight="false" outlineLevel="0" collapsed="false">
      <c r="A11" s="22" t="s">
        <v>85</v>
      </c>
      <c r="B11" s="24" t="n">
        <f aca="false">QUARTILE(Dados!F2:F8,1)</f>
        <v>7.5</v>
      </c>
      <c r="C11" s="24" t="n">
        <f aca="false">QUARTILE(Dados!F9:F27,1)</f>
        <v>6.5</v>
      </c>
      <c r="D11" s="24" t="n">
        <f aca="false">QUARTILE(Dados!F28:F39,1)</f>
        <v>22.5</v>
      </c>
      <c r="E11" s="24" t="n">
        <f aca="false">QUARTILE(Dados!F28:F38,1)</f>
        <v>22</v>
      </c>
      <c r="F11" s="24" t="n">
        <f aca="false">QUARTILE(Dados!F9:F39,1)</f>
        <v>8</v>
      </c>
      <c r="G11" s="24" t="n">
        <f aca="false">QUARTILE(Dados!F2:F27,1)</f>
        <v>7</v>
      </c>
    </row>
    <row r="12" customFormat="false" ht="15" hidden="false" customHeight="false" outlineLevel="0" collapsed="false">
      <c r="A12" s="22" t="s">
        <v>86</v>
      </c>
      <c r="B12" s="24" t="n">
        <f aca="false">QUARTILE(Dados!F2:F8,3)</f>
        <v>10</v>
      </c>
      <c r="C12" s="24" t="n">
        <f aca="false">QUARTILE(Dados!F9:F27,3)</f>
        <v>13</v>
      </c>
      <c r="D12" s="24" t="n">
        <f aca="false">QUARTILE(Dados!F28:F39,3)</f>
        <v>49.25</v>
      </c>
      <c r="E12" s="24" t="n">
        <f aca="false">QUARTILE(Dados!F28:F38,3)</f>
        <v>48.5</v>
      </c>
      <c r="F12" s="24" t="n">
        <f aca="false">QUARTILE(Dados!F9:F39,3)</f>
        <v>25</v>
      </c>
      <c r="G12" s="24" t="n">
        <f aca="false">QUARTILE(Dados!F2:F27,3)</f>
        <v>11.75</v>
      </c>
    </row>
    <row r="13" customFormat="false" ht="15" hidden="false" customHeight="false" outlineLevel="0" collapsed="false">
      <c r="A13" s="22" t="s">
        <v>87</v>
      </c>
      <c r="B13" s="24" t="n">
        <f aca="false">MAX(Dados!F2:F8)</f>
        <v>12</v>
      </c>
      <c r="C13" s="24" t="n">
        <f aca="false">MAX(Dados!F9:F27)</f>
        <v>26</v>
      </c>
      <c r="D13" s="24" t="n">
        <f aca="false">MAX(Dados!F28:F39)</f>
        <v>2310</v>
      </c>
      <c r="E13" s="24" t="n">
        <f aca="false">MAX(Dados!F28:F38)</f>
        <v>56</v>
      </c>
      <c r="F13" s="24" t="n">
        <f aca="false">MAX(Dados!F9:F39)</f>
        <v>2310</v>
      </c>
      <c r="G13" s="24" t="n">
        <f aca="false">MAX(Dados!F2:F27)</f>
        <v>26</v>
      </c>
    </row>
    <row r="15" customFormat="false" ht="42" hidden="false" customHeight="true" outlineLevel="0" collapsed="false">
      <c r="A15" s="21" t="s">
        <v>88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</row>
    <row r="16" customFormat="false" ht="15" hidden="false" customHeight="false" outlineLevel="0" collapsed="false">
      <c r="A16" s="22" t="s">
        <v>78</v>
      </c>
      <c r="B16" s="23" t="n">
        <f aca="false">COUNT(Dados!G2:G8)</f>
        <v>6</v>
      </c>
      <c r="C16" s="23" t="n">
        <f aca="false">COUNT(Dados!G9:G27)</f>
        <v>19</v>
      </c>
      <c r="D16" s="23" t="n">
        <f aca="false">COUNT(Dados!G28:G39)</f>
        <v>11</v>
      </c>
      <c r="E16" s="23" t="n">
        <f aca="false">COUNT(Dados!G28:G38)</f>
        <v>10</v>
      </c>
      <c r="F16" s="23" t="n">
        <f aca="false">COUNT(Dados!G9:G39)</f>
        <v>30</v>
      </c>
      <c r="G16" s="23" t="n">
        <f aca="false">COUNT(Dados!G2:G27)</f>
        <v>25</v>
      </c>
    </row>
    <row r="17" customFormat="false" ht="15" hidden="false" customHeight="false" outlineLevel="0" collapsed="false">
      <c r="A17" s="22" t="s">
        <v>79</v>
      </c>
      <c r="B17" s="24" t="n">
        <f aca="false">AVERAGE(Dados!G2:G8)</f>
        <v>5.06</v>
      </c>
      <c r="C17" s="24" t="n">
        <f aca="false">AVERAGE(Dados!G9:G27)</f>
        <v>7.42578947368421</v>
      </c>
      <c r="D17" s="24" t="n">
        <f aca="false">AVERAGE(Dados!G28:G39)</f>
        <v>230.656363636364</v>
      </c>
      <c r="E17" s="24" t="n">
        <f aca="false">AVERAGE(Dados!G28:G38)</f>
        <v>23.094</v>
      </c>
      <c r="F17" s="24" t="n">
        <f aca="false">AVERAGE(Dados!G9:G39)</f>
        <v>89.277</v>
      </c>
      <c r="G17" s="24" t="n">
        <f aca="false">AVERAGE(Dados!G2:G27)</f>
        <v>6.858</v>
      </c>
    </row>
    <row r="18" customFormat="false" ht="15" hidden="false" customHeight="false" outlineLevel="0" collapsed="false">
      <c r="A18" s="22" t="s">
        <v>80</v>
      </c>
      <c r="B18" s="24" t="n">
        <f aca="false">MEDIAN(Dados!G2:G8)</f>
        <v>5.5</v>
      </c>
      <c r="C18" s="24" t="n">
        <f aca="false">MEDIAN(Dados!G9:G27)</f>
        <v>5.67</v>
      </c>
      <c r="D18" s="24" t="n">
        <f aca="false">MEDIAN(Dados!G28:G39)</f>
        <v>27.84</v>
      </c>
      <c r="E18" s="24" t="n">
        <f aca="false">MEDIAN(Dados!G28:G38)</f>
        <v>24.695</v>
      </c>
      <c r="F18" s="24" t="n">
        <f aca="false">MEDIAN(Dados!G9:G39)</f>
        <v>8.9</v>
      </c>
      <c r="G18" s="24" t="n">
        <f aca="false">MEDIAN(Dados!G2:G27)</f>
        <v>5.67</v>
      </c>
    </row>
    <row r="19" customFormat="false" ht="15" hidden="false" customHeight="false" outlineLevel="0" collapsed="false">
      <c r="A19" s="22" t="s">
        <v>81</v>
      </c>
      <c r="B19" s="24" t="n">
        <f aca="false">GEOMEAN(Dados!G2:G8)</f>
        <v>4.36318872917301</v>
      </c>
      <c r="C19" s="24" t="n">
        <f aca="false">GEOMEAN(Dados!G9:G27)</f>
        <v>6.28918679888422</v>
      </c>
      <c r="D19" s="24" t="n">
        <f aca="false">GEOMEAN(Dados!G28:G39)</f>
        <v>30.7116693252851</v>
      </c>
      <c r="E19" s="24" t="n">
        <f aca="false">GEOMEAN(Dados!G28:G38)</f>
        <v>19.940799283745</v>
      </c>
      <c r="F19" s="24" t="n">
        <f aca="false">GEOMEAN(Dados!G9:G39)</f>
        <v>11.2491860965922</v>
      </c>
      <c r="G19" s="24" t="n">
        <f aca="false">GEOMEAN(Dados!G2:G27)</f>
        <v>5.76082622904023</v>
      </c>
    </row>
    <row r="20" customFormat="false" ht="15" hidden="false" customHeight="false" outlineLevel="0" collapsed="false">
      <c r="A20" s="22" t="s">
        <v>82</v>
      </c>
      <c r="B20" s="24" t="n">
        <f aca="false">STDEV(Dados!G2:G8)</f>
        <v>2.55868716337109</v>
      </c>
      <c r="C20" s="24" t="n">
        <f aca="false">STDEV(Dados!G9:G27)</f>
        <v>4.83021314895393</v>
      </c>
      <c r="D20" s="24" t="n">
        <f aca="false">STDEV(Dados!G28:G39)</f>
        <v>688.47368404715</v>
      </c>
      <c r="E20" s="24" t="n">
        <f aca="false">STDEV(Dados!G28:G38)</f>
        <v>10.1396276504065</v>
      </c>
      <c r="F20" s="24" t="n">
        <f aca="false">STDEV(Dados!G9:G39)</f>
        <v>418.846620566115</v>
      </c>
      <c r="G20" s="24" t="n">
        <f aca="false">STDEV(Dados!G2:G27)</f>
        <v>4.46380723150093</v>
      </c>
    </row>
    <row r="21" customFormat="false" ht="15" hidden="false" customHeight="false" outlineLevel="0" collapsed="false">
      <c r="A21" s="22" t="s">
        <v>83</v>
      </c>
      <c r="B21" s="25" t="n">
        <f aca="false">STDEV(Dados!G2:G8)/AVERAGE(Dados!G2:G8)</f>
        <v>0.50566939987571</v>
      </c>
      <c r="C21" s="25" t="n">
        <f aca="false">STDEV(Dados!G9:G27)/AVERAGE(Dados!G9:G27)</f>
        <v>0.650464595861682</v>
      </c>
      <c r="D21" s="25" t="n">
        <f aca="false">STDEV(Dados!G28:G39)/AVERAGE(Dados!G28:G39)</f>
        <v>2.98484582516244</v>
      </c>
      <c r="E21" s="25" t="n">
        <f aca="false">STDEV(Dados!G28:G38)/AVERAGE(Dados!G28:G38)</f>
        <v>0.439058961219648</v>
      </c>
      <c r="F21" s="25" t="n">
        <f aca="false">STDEV(Dados!G9:G39)/AVERAGE(Dados!G9:G39)</f>
        <v>4.69154004464885</v>
      </c>
      <c r="G21" s="25" t="n">
        <f aca="false">STDEV(Dados!G2:G27)/AVERAGE(Dados!G2:G27)</f>
        <v>0.650890526611393</v>
      </c>
    </row>
    <row r="22" customFormat="false" ht="15" hidden="false" customHeight="false" outlineLevel="0" collapsed="false">
      <c r="A22" s="22" t="s">
        <v>84</v>
      </c>
      <c r="B22" s="24" t="n">
        <f aca="false">MIN(Dados!G2:G8)</f>
        <v>1.5</v>
      </c>
      <c r="C22" s="24" t="n">
        <f aca="false">MIN(Dados!G9:G27)</f>
        <v>3.29</v>
      </c>
      <c r="D22" s="24" t="n">
        <f aca="false">MIN(Dados!G28:G39)</f>
        <v>3.7</v>
      </c>
      <c r="E22" s="24" t="n">
        <f aca="false">MIN(Dados!G28:G38)</f>
        <v>3.7</v>
      </c>
      <c r="F22" s="24" t="n">
        <f aca="false">MIN(Dados!G9:G39)</f>
        <v>3.29</v>
      </c>
      <c r="G22" s="24" t="n">
        <f aca="false">MIN(Dados!G2:G27)</f>
        <v>1.5</v>
      </c>
    </row>
    <row r="23" customFormat="false" ht="15" hidden="false" customHeight="false" outlineLevel="0" collapsed="false">
      <c r="A23" s="22" t="s">
        <v>85</v>
      </c>
      <c r="B23" s="24" t="n">
        <f aca="false">QUARTILE(Dados!G2:G8,1)</f>
        <v>3.225</v>
      </c>
      <c r="C23" s="24" t="n">
        <f aca="false">QUARTILE(Dados!G9:G27,1)</f>
        <v>3.83</v>
      </c>
      <c r="D23" s="24" t="n">
        <f aca="false">QUARTILE(Dados!G28:G39,1)</f>
        <v>17.335</v>
      </c>
      <c r="E23" s="24" t="n">
        <f aca="false">QUARTILE(Dados!G28:G38,1)</f>
        <v>16.4475</v>
      </c>
      <c r="F23" s="24" t="n">
        <f aca="false">QUARTILE(Dados!G9:G39,1)</f>
        <v>4.2475</v>
      </c>
      <c r="G23" s="24" t="n">
        <f aca="false">QUARTILE(Dados!G2:G27,1)</f>
        <v>3.83</v>
      </c>
    </row>
    <row r="24" customFormat="false" ht="15" hidden="false" customHeight="false" outlineLevel="0" collapsed="false">
      <c r="A24" s="22" t="s">
        <v>86</v>
      </c>
      <c r="B24" s="24" t="n">
        <f aca="false">QUARTILE(Dados!G2:G8,3)</f>
        <v>6.89</v>
      </c>
      <c r="C24" s="24" t="n">
        <f aca="false">QUARTILE(Dados!G9:G27,3)</f>
        <v>8.9</v>
      </c>
      <c r="D24" s="24" t="n">
        <f aca="false">QUARTILE(Dados!G28:G39,3)</f>
        <v>31.905</v>
      </c>
      <c r="E24" s="24" t="n">
        <f aca="false">QUARTILE(Dados!G28:G38,3)</f>
        <v>29.44</v>
      </c>
      <c r="F24" s="24" t="n">
        <f aca="false">QUARTILE(Dados!G9:G39,3)</f>
        <v>18.9075</v>
      </c>
      <c r="G24" s="24" t="n">
        <f aca="false">QUARTILE(Dados!G2:G27,3)</f>
        <v>8.02</v>
      </c>
    </row>
    <row r="25" customFormat="false" ht="15" hidden="false" customHeight="false" outlineLevel="0" collapsed="false">
      <c r="A25" s="22" t="s">
        <v>87</v>
      </c>
      <c r="B25" s="24" t="n">
        <f aca="false">MAX(Dados!G2:G8)</f>
        <v>8.04</v>
      </c>
      <c r="C25" s="24" t="n">
        <f aca="false">MAX(Dados!G9:G27)</f>
        <v>18.3</v>
      </c>
      <c r="D25" s="24" t="n">
        <f aca="false">MAX(Dados!G28:G39)</f>
        <v>2306.28</v>
      </c>
      <c r="E25" s="24" t="n">
        <f aca="false">MAX(Dados!G28:G38)</f>
        <v>36.08</v>
      </c>
      <c r="F25" s="24" t="n">
        <f aca="false">MAX(Dados!G9:G39)</f>
        <v>2306.28</v>
      </c>
      <c r="G25" s="24" t="n">
        <f aca="false">MAX(Dados!G2:G27)</f>
        <v>18.3</v>
      </c>
    </row>
    <row r="27" customFormat="false" ht="42" hidden="false" customHeight="true" outlineLevel="0" collapsed="false">
      <c r="A27" s="21" t="s">
        <v>89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</row>
    <row r="28" customFormat="false" ht="15" hidden="false" customHeight="false" outlineLevel="0" collapsed="false">
      <c r="A28" s="22" t="s">
        <v>78</v>
      </c>
      <c r="B28" s="23" t="n">
        <f aca="false">COUNT(Dados!H2:H8)</f>
        <v>6</v>
      </c>
      <c r="C28" s="23" t="n">
        <f aca="false">COUNT(Dados!H9:H27)</f>
        <v>19</v>
      </c>
      <c r="D28" s="23" t="n">
        <f aca="false">COUNT(Dados!H28:H39)</f>
        <v>11</v>
      </c>
      <c r="E28" s="23" t="n">
        <f aca="false">COUNT(Dados!H28:H38)</f>
        <v>10</v>
      </c>
      <c r="F28" s="23" t="n">
        <f aca="false">COUNT(Dados!H9:H39)</f>
        <v>30</v>
      </c>
      <c r="G28" s="23" t="n">
        <f aca="false">COUNT(Dados!H2:H27)</f>
        <v>25</v>
      </c>
    </row>
    <row r="29" customFormat="false" ht="15" hidden="false" customHeight="false" outlineLevel="0" collapsed="false">
      <c r="A29" s="22" t="s">
        <v>79</v>
      </c>
      <c r="B29" s="24" t="n">
        <f aca="false">AVERAGE(Dados!H2:H8)</f>
        <v>3.77333333333333</v>
      </c>
      <c r="C29" s="24" t="n">
        <f aca="false">AVERAGE(Dados!H9:H27)</f>
        <v>2.94263157894737</v>
      </c>
      <c r="D29" s="24" t="n">
        <f aca="false">AVERAGE(Dados!H28:H39)</f>
        <v>11.4345454545455</v>
      </c>
      <c r="E29" s="24" t="n">
        <f aca="false">AVERAGE(Dados!H28:H38)</f>
        <v>12.206</v>
      </c>
      <c r="F29" s="24" t="n">
        <f aca="false">AVERAGE(Dados!H9:H39)</f>
        <v>6.05633333333333</v>
      </c>
      <c r="G29" s="24" t="n">
        <f aca="false">AVERAGE(Dados!H2:H27)</f>
        <v>3.142</v>
      </c>
    </row>
    <row r="30" customFormat="false" ht="15" hidden="false" customHeight="false" outlineLevel="0" collapsed="false">
      <c r="A30" s="22" t="s">
        <v>80</v>
      </c>
      <c r="B30" s="24" t="n">
        <f aca="false">MEDIAN(Dados!H2:H8)</f>
        <v>3.73</v>
      </c>
      <c r="C30" s="24" t="n">
        <f aca="false">MEDIAN(Dados!H9:H27)</f>
        <v>2.22</v>
      </c>
      <c r="D30" s="24" t="n">
        <f aca="false">MEDIAN(Dados!H28:H39)</f>
        <v>8.45</v>
      </c>
      <c r="E30" s="24" t="n">
        <f aca="false">MEDIAN(Dados!H28:H38)</f>
        <v>11.09</v>
      </c>
      <c r="F30" s="24" t="n">
        <f aca="false">MEDIAN(Dados!H9:H39)</f>
        <v>3.785</v>
      </c>
      <c r="G30" s="24" t="n">
        <f aca="false">MEDIAN(Dados!H2:H27)</f>
        <v>2.33</v>
      </c>
    </row>
    <row r="31" customFormat="false" ht="15" hidden="false" customHeight="false" outlineLevel="0" collapsed="false">
      <c r="A31" s="22" t="s">
        <v>81</v>
      </c>
      <c r="B31" s="24" t="n">
        <f aca="false">GEOMEAN(Dados!H2:H8)</f>
        <v>3.46593907664243</v>
      </c>
      <c r="C31" s="24" t="n">
        <f aca="false">GEOMEAN(Dados!H9:H27)</f>
        <v>2.24202442676666</v>
      </c>
      <c r="D31" s="24" t="n">
        <f aca="false">GEOMEAN(Dados!H28:H39)</f>
        <v>9.30097027257995</v>
      </c>
      <c r="E31" s="24" t="n">
        <f aca="false">GEOMEAN(Dados!H28:H38)</f>
        <v>10.1935812275216</v>
      </c>
      <c r="F31" s="24" t="n">
        <f aca="false">GEOMEAN(Dados!H9:H39)</f>
        <v>3.77745450594004</v>
      </c>
      <c r="G31" s="24" t="n">
        <f aca="false">GEOMEAN(Dados!H2:H27)</f>
        <v>2.48910765370481</v>
      </c>
    </row>
    <row r="32" customFormat="false" ht="15" hidden="false" customHeight="false" outlineLevel="0" collapsed="false">
      <c r="A32" s="22" t="s">
        <v>82</v>
      </c>
      <c r="B32" s="24" t="n">
        <f aca="false">STDEV(Dados!H2:H8)</f>
        <v>1.64971108581675</v>
      </c>
      <c r="C32" s="24" t="n">
        <f aca="false">STDEV(Dados!H9:H27)</f>
        <v>2.15328390579305</v>
      </c>
      <c r="D32" s="24" t="n">
        <f aca="false">STDEV(Dados!H28:H39)</f>
        <v>7.18858868434739</v>
      </c>
      <c r="E32" s="24" t="n">
        <f aca="false">STDEV(Dados!H28:H38)</f>
        <v>7.0812148989029</v>
      </c>
      <c r="F32" s="24" t="n">
        <f aca="false">STDEV(Dados!H9:H39)</f>
        <v>6.16609723062094</v>
      </c>
      <c r="G32" s="24" t="n">
        <f aca="false">STDEV(Dados!H2:H27)</f>
        <v>2.04342237435142</v>
      </c>
    </row>
    <row r="33" customFormat="false" ht="15" hidden="false" customHeight="false" outlineLevel="0" collapsed="false">
      <c r="A33" s="22" t="s">
        <v>83</v>
      </c>
      <c r="B33" s="25" t="n">
        <f aca="false">STDEV(Dados!H2:H8)/AVERAGE(Dados!H2:H8)</f>
        <v>0.43720258458041</v>
      </c>
      <c r="C33" s="25" t="n">
        <f aca="false">STDEV(Dados!H9:H27)/AVERAGE(Dados!H9:H27)</f>
        <v>0.731754502058092</v>
      </c>
      <c r="D33" s="25" t="n">
        <f aca="false">STDEV(Dados!H28:H39)/AVERAGE(Dados!H28:H39)</f>
        <v>0.628672885417564</v>
      </c>
      <c r="E33" s="25" t="n">
        <f aca="false">STDEV(Dados!H28:H38)/AVERAGE(Dados!H28:H38)</f>
        <v>0.580142134925684</v>
      </c>
      <c r="F33" s="25" t="n">
        <f aca="false">STDEV(Dados!H9:H39)/AVERAGE(Dados!H9:H39)</f>
        <v>1.0181238203458</v>
      </c>
      <c r="G33" s="25" t="n">
        <f aca="false">STDEV(Dados!H2:H27)/AVERAGE(Dados!H2:H27)</f>
        <v>0.650357216534507</v>
      </c>
    </row>
    <row r="34" customFormat="false" ht="15" hidden="false" customHeight="false" outlineLevel="0" collapsed="false">
      <c r="A34" s="22" t="s">
        <v>84</v>
      </c>
      <c r="B34" s="24" t="n">
        <f aca="false">MIN(Dados!H2:H8)</f>
        <v>1.88</v>
      </c>
      <c r="C34" s="24" t="n">
        <f aca="false">MIN(Dados!H9:H27)</f>
        <v>0.58</v>
      </c>
      <c r="D34" s="24" t="n">
        <f aca="false">MIN(Dados!H28:H39)</f>
        <v>3.72</v>
      </c>
      <c r="E34" s="24" t="n">
        <f aca="false">MIN(Dados!H28:H38)</f>
        <v>3.85</v>
      </c>
      <c r="F34" s="24" t="n">
        <f aca="false">MIN(Dados!H9:H39)</f>
        <v>0.58</v>
      </c>
      <c r="G34" s="24" t="n">
        <f aca="false">MIN(Dados!H2:H27)</f>
        <v>0.58</v>
      </c>
    </row>
    <row r="35" customFormat="false" ht="15" hidden="false" customHeight="false" outlineLevel="0" collapsed="false">
      <c r="A35" s="22" t="s">
        <v>85</v>
      </c>
      <c r="B35" s="24" t="n">
        <f aca="false">QUARTILE(Dados!H2:H8,1)</f>
        <v>2.525</v>
      </c>
      <c r="C35" s="24" t="n">
        <f aca="false">QUARTILE(Dados!H9:H27,1)</f>
        <v>1.29</v>
      </c>
      <c r="D35" s="24" t="n">
        <f aca="false">QUARTILE(Dados!H28:H39,1)</f>
        <v>5.165</v>
      </c>
      <c r="E35" s="24" t="n">
        <f aca="false">QUARTILE(Dados!H28:H38,1)</f>
        <v>5.795</v>
      </c>
      <c r="F35" s="24" t="n">
        <f aca="false">QUARTILE(Dados!H9:H39,1)</f>
        <v>1.9</v>
      </c>
      <c r="G35" s="24" t="n">
        <f aca="false">QUARTILE(Dados!H2:H27,1)</f>
        <v>1.68</v>
      </c>
    </row>
    <row r="36" customFormat="false" ht="15" hidden="false" customHeight="false" outlineLevel="0" collapsed="false">
      <c r="A36" s="22" t="s">
        <v>86</v>
      </c>
      <c r="B36" s="24" t="n">
        <f aca="false">QUARTILE(Dados!H2:H8,3)</f>
        <v>4.59</v>
      </c>
      <c r="C36" s="24" t="n">
        <f aca="false">QUARTILE(Dados!H9:H27,3)</f>
        <v>4.155</v>
      </c>
      <c r="D36" s="24" t="n">
        <f aca="false">QUARTILE(Dados!H28:H39,3)</f>
        <v>18.38</v>
      </c>
      <c r="E36" s="24" t="n">
        <f aca="false">QUARTILE(Dados!H28:H38,3)</f>
        <v>18.92</v>
      </c>
      <c r="F36" s="24" t="n">
        <f aca="false">QUARTILE(Dados!H9:H39,3)</f>
        <v>6.64</v>
      </c>
      <c r="G36" s="24" t="n">
        <f aca="false">QUARTILE(Dados!H2:H27,3)</f>
        <v>4.8</v>
      </c>
    </row>
    <row r="37" customFormat="false" ht="15" hidden="false" customHeight="false" outlineLevel="0" collapsed="false">
      <c r="A37" s="22" t="s">
        <v>87</v>
      </c>
      <c r="B37" s="24" t="n">
        <f aca="false">MAX(Dados!H2:H8)</f>
        <v>6.3</v>
      </c>
      <c r="C37" s="24" t="n">
        <f aca="false">MAX(Dados!H9:H27)</f>
        <v>8.07</v>
      </c>
      <c r="D37" s="24" t="n">
        <f aca="false">MAX(Dados!H28:H39)</f>
        <v>22.16</v>
      </c>
      <c r="E37" s="24" t="n">
        <f aca="false">MAX(Dados!H28:H38)</f>
        <v>22.16</v>
      </c>
      <c r="F37" s="24" t="n">
        <f aca="false">MAX(Dados!H9:H39)</f>
        <v>22.16</v>
      </c>
      <c r="G37" s="24" t="n">
        <f aca="false">MAX(Dados!H2:H27)</f>
        <v>8.07</v>
      </c>
    </row>
    <row r="39" customFormat="false" ht="42" hidden="false" customHeight="true" outlineLevel="0" collapsed="false">
      <c r="A39" s="21" t="s">
        <v>90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</row>
    <row r="40" customFormat="false" ht="15" hidden="false" customHeight="false" outlineLevel="0" collapsed="false">
      <c r="A40" s="22" t="s">
        <v>78</v>
      </c>
      <c r="B40" s="23" t="n">
        <f aca="false">COUNT(Dados!K2:K8)</f>
        <v>6</v>
      </c>
      <c r="C40" s="23" t="n">
        <f aca="false">COUNT(Dados!K9:K27)</f>
        <v>19</v>
      </c>
      <c r="D40" s="23" t="n">
        <f aca="false">COUNT(Dados!K28:K39)</f>
        <v>11</v>
      </c>
      <c r="E40" s="23" t="n">
        <f aca="false">COUNT(Dados!K28:K38)</f>
        <v>10</v>
      </c>
      <c r="F40" s="23" t="n">
        <f aca="false">COUNT(Dados!K9:K39)</f>
        <v>30</v>
      </c>
      <c r="G40" s="23" t="n">
        <f aca="false">COUNT(Dados!K2:K27)</f>
        <v>25</v>
      </c>
    </row>
    <row r="41" customFormat="false" ht="15" hidden="false" customHeight="false" outlineLevel="0" collapsed="false">
      <c r="A41" s="22" t="s">
        <v>79</v>
      </c>
      <c r="B41" s="26" t="n">
        <f aca="false">AVERAGE(Dados!K2:K8)</f>
        <v>0.551743626743627</v>
      </c>
      <c r="C41" s="26" t="n">
        <f aca="false">AVERAGE(Dados!K9:K27)</f>
        <v>0.706925806418881</v>
      </c>
      <c r="D41" s="26" t="n">
        <f aca="false">AVERAGE(Dados!K28:K39)</f>
        <v>0.685779322445232</v>
      </c>
      <c r="E41" s="26" t="n">
        <f aca="false">AVERAGE(Dados!K28:K38)</f>
        <v>0.654518293650794</v>
      </c>
      <c r="F41" s="26" t="n">
        <f aca="false">AVERAGE(Dados!K9:K39)</f>
        <v>0.699172095628543</v>
      </c>
      <c r="G41" s="26" t="n">
        <f aca="false">AVERAGE(Dados!K2:K27)</f>
        <v>0.66968208329682</v>
      </c>
    </row>
    <row r="42" customFormat="false" ht="15" hidden="false" customHeight="false" outlineLevel="0" collapsed="false">
      <c r="A42" s="22" t="s">
        <v>80</v>
      </c>
      <c r="B42" s="26" t="n">
        <f aca="false">MEDIAN(Dados!K2:K8)</f>
        <v>0.616818181818182</v>
      </c>
      <c r="C42" s="26" t="n">
        <f aca="false">MEDIAN(Dados!K9:K27)</f>
        <v>0.711578947368421</v>
      </c>
      <c r="D42" s="26" t="n">
        <f aca="false">MEDIAN(Dados!K28:K39)</f>
        <v>0.718333333333333</v>
      </c>
      <c r="E42" s="26" t="n">
        <f aca="false">MEDIAN(Dados!K28:K38)</f>
        <v>0.716145833333333</v>
      </c>
      <c r="F42" s="26" t="n">
        <f aca="false">MEDIAN(Dados!K9:K39)</f>
        <v>0.716145833333333</v>
      </c>
      <c r="G42" s="26" t="n">
        <f aca="false">MEDIAN(Dados!K2:K27)</f>
        <v>0.689615384615385</v>
      </c>
    </row>
    <row r="43" customFormat="false" ht="15" hidden="false" customHeight="false" outlineLevel="0" collapsed="false">
      <c r="A43" s="22" t="s">
        <v>81</v>
      </c>
      <c r="B43" s="26" t="n">
        <f aca="false">GEOMEAN(Dados!K2:K8)</f>
        <v>0.513983881393641</v>
      </c>
      <c r="C43" s="26" t="n">
        <f aca="false">GEOMEAN(Dados!K9:K27)</f>
        <v>0.691592483926863</v>
      </c>
      <c r="D43" s="26" t="n">
        <f aca="false">GEOMEAN(Dados!K28:K39)</f>
        <v>0.63957204911869</v>
      </c>
      <c r="E43" s="26" t="n">
        <f aca="false">GEOMEAN(Dados!K28:K38)</f>
        <v>0.611713997082856</v>
      </c>
      <c r="F43" s="26" t="n">
        <f aca="false">GEOMEAN(Dados!K9:K39)</f>
        <v>0.672044413810352</v>
      </c>
      <c r="G43" s="26" t="n">
        <f aca="false">GEOMEAN(Dados!K2:K27)</f>
        <v>0.644041838637644</v>
      </c>
    </row>
    <row r="44" customFormat="false" ht="15" hidden="false" customHeight="false" outlineLevel="0" collapsed="false">
      <c r="A44" s="22" t="s">
        <v>82</v>
      </c>
      <c r="B44" s="26" t="n">
        <f aca="false">STDEV(Dados!K2:K8)</f>
        <v>0.207904133800206</v>
      </c>
      <c r="C44" s="26" t="n">
        <f aca="false">STDEV(Dados!K9:K27)</f>
        <v>0.14736378151916</v>
      </c>
      <c r="D44" s="26" t="n">
        <f aca="false">STDEV(Dados!K28:K39)</f>
        <v>0.2061796897951</v>
      </c>
      <c r="E44" s="26" t="n">
        <f aca="false">STDEV(Dados!K28:K38)</f>
        <v>0.187854238262455</v>
      </c>
      <c r="F44" s="26" t="n">
        <f aca="false">STDEV(Dados!K9:K39)</f>
        <v>0.168062536534268</v>
      </c>
      <c r="G44" s="26" t="n">
        <f aca="false">STDEV(Dados!K2:K27)</f>
        <v>0.172822384576153</v>
      </c>
    </row>
    <row r="45" customFormat="false" ht="15" hidden="false" customHeight="false" outlineLevel="0" collapsed="false">
      <c r="A45" s="22" t="s">
        <v>83</v>
      </c>
      <c r="B45" s="25" t="n">
        <f aca="false">STDEV(Dados!K2:K8)/AVERAGE(Dados!K2:K8)</f>
        <v>0.376812932171504</v>
      </c>
      <c r="C45" s="25" t="n">
        <f aca="false">STDEV(Dados!K9:K27)/AVERAGE(Dados!K9:K27)</f>
        <v>0.208457210333952</v>
      </c>
      <c r="D45" s="25" t="n">
        <f aca="false">STDEV(Dados!K28:K39)/AVERAGE(Dados!K28:K39)</f>
        <v>0.300650199046453</v>
      </c>
      <c r="E45" s="25" t="n">
        <f aca="false">STDEV(Dados!K28:K38)/AVERAGE(Dados!K28:K38)</f>
        <v>0.287011440451321</v>
      </c>
      <c r="F45" s="25" t="n">
        <f aca="false">STDEV(Dados!K9:K39)/AVERAGE(Dados!K9:K39)</f>
        <v>0.240373632736563</v>
      </c>
      <c r="G45" s="25" t="n">
        <f aca="false">STDEV(Dados!K2:K27)/AVERAGE(Dados!K2:K27)</f>
        <v>0.258066310696794</v>
      </c>
    </row>
    <row r="46" customFormat="false" ht="15" hidden="false" customHeight="false" outlineLevel="0" collapsed="false">
      <c r="A46" s="22" t="s">
        <v>84</v>
      </c>
      <c r="B46" s="26" t="n">
        <f aca="false">MIN(Dados!K2:K8)</f>
        <v>0.3</v>
      </c>
      <c r="C46" s="26" t="n">
        <f aca="false">MIN(Dados!K9:K27)</f>
        <v>0.419</v>
      </c>
      <c r="D46" s="26" t="n">
        <f aca="false">MIN(Dados!K28:K39)</f>
        <v>0.176190476190476</v>
      </c>
      <c r="E46" s="26" t="n">
        <f aca="false">MIN(Dados!K28:K38)</f>
        <v>0.176190476190476</v>
      </c>
      <c r="F46" s="26" t="n">
        <f aca="false">MIN(Dados!K9:K39)</f>
        <v>0.176190476190476</v>
      </c>
      <c r="G46" s="26" t="n">
        <f aca="false">MIN(Dados!K2:K27)</f>
        <v>0.3</v>
      </c>
    </row>
    <row r="47" customFormat="false" ht="15" hidden="false" customHeight="false" outlineLevel="0" collapsed="false">
      <c r="A47" s="22" t="s">
        <v>85</v>
      </c>
      <c r="B47" s="26" t="n">
        <f aca="false">QUARTILE(Dados!K2:K8,1)</f>
        <v>0.365909090909091</v>
      </c>
      <c r="C47" s="26" t="n">
        <f aca="false">QUARTILE(Dados!K9:K27,1)</f>
        <v>0.583928571428571</v>
      </c>
      <c r="D47" s="26" t="n">
        <f aca="false">QUARTILE(Dados!K28:K39,1)</f>
        <v>0.623571428571429</v>
      </c>
      <c r="E47" s="26" t="n">
        <f aca="false">QUARTILE(Dados!K28:K38,1)</f>
        <v>0.613214285714286</v>
      </c>
      <c r="F47" s="26" t="n">
        <f aca="false">QUARTILE(Dados!K9:K39,1)</f>
        <v>0.596964285714286</v>
      </c>
      <c r="G47" s="26" t="n">
        <f aca="false">QUARTILE(Dados!K2:K27,1)</f>
        <v>0.563636363636364</v>
      </c>
    </row>
    <row r="48" customFormat="false" ht="15" hidden="false" customHeight="false" outlineLevel="0" collapsed="false">
      <c r="A48" s="22" t="s">
        <v>86</v>
      </c>
      <c r="B48" s="26" t="n">
        <f aca="false">QUARTILE(Dados!K2:K8,3)</f>
        <v>0.681785714285714</v>
      </c>
      <c r="C48" s="26" t="n">
        <f aca="false">QUARTILE(Dados!K9:K27,3)</f>
        <v>0.814166666666667</v>
      </c>
      <c r="D48" s="26" t="n">
        <f aca="false">QUARTILE(Dados!K28:K39,3)</f>
        <v>0.791180555555556</v>
      </c>
      <c r="E48" s="26" t="n">
        <f aca="false">QUARTILE(Dados!K28:K38,3)</f>
        <v>0.774821428571429</v>
      </c>
      <c r="F48" s="26" t="n">
        <f aca="false">QUARTILE(Dados!K9:K39,3)</f>
        <v>0.806145833333333</v>
      </c>
      <c r="G48" s="26" t="n">
        <f aca="false">QUARTILE(Dados!K2:K27,3)</f>
        <v>0.791111111111111</v>
      </c>
    </row>
    <row r="49" customFormat="false" ht="15" hidden="false" customHeight="false" outlineLevel="0" collapsed="false">
      <c r="A49" s="22" t="s">
        <v>87</v>
      </c>
      <c r="B49" s="26" t="n">
        <f aca="false">MAX(Dados!K2:K8)</f>
        <v>0.791111111111111</v>
      </c>
      <c r="C49" s="26" t="n">
        <f aca="false">MAX(Dados!K9:K27)</f>
        <v>0.963157894736842</v>
      </c>
      <c r="D49" s="26" t="n">
        <f aca="false">MAX(Dados!K28:K39)</f>
        <v>0.998389610389611</v>
      </c>
      <c r="E49" s="26" t="n">
        <f aca="false">MAX(Dados!K28:K38)</f>
        <v>0.809444444444444</v>
      </c>
      <c r="F49" s="26" t="n">
        <f aca="false">MAX(Dados!K9:K39)</f>
        <v>0.998389610389611</v>
      </c>
      <c r="G49" s="26" t="n">
        <f aca="false">MAX(Dados!K2:K27)</f>
        <v>0.963157894736842</v>
      </c>
    </row>
    <row r="51" customFormat="false" ht="15" hidden="false" customHeight="false" outlineLevel="0" collapsed="false">
      <c r="A51" s="27" t="s">
        <v>91</v>
      </c>
    </row>
    <row r="52" customFormat="false" ht="15" hidden="false" customHeight="false" outlineLevel="0" collapsed="false">
      <c r="A52" s="22" t="s">
        <v>92</v>
      </c>
      <c r="B52" s="28" t="n">
        <f aca="false">AVERAGE(Dados!F2:F27)+2*STDEV(Dados!F2:F27)</f>
        <v>20.1824816141584</v>
      </c>
    </row>
    <row r="53" customFormat="false" ht="15" hidden="false" customHeight="false" outlineLevel="0" collapsed="false">
      <c r="A53" s="22" t="s">
        <v>93</v>
      </c>
      <c r="B53" s="28" t="n">
        <f aca="false">MEDIAN(Dados!F2:F27)+2*1.4826*MEDIAN(Dados!M2:M27)</f>
        <v>15.913</v>
      </c>
      <c r="C53" s="19" t="s">
        <v>94</v>
      </c>
    </row>
    <row r="54" customFormat="false" ht="15" hidden="false" customHeight="false" outlineLevel="0" collapsed="false">
      <c r="A54" s="22" t="s">
        <v>95</v>
      </c>
      <c r="B54" s="28" t="n">
        <f aca="false">COUNTIF(Dados!F2:F27,"&gt;"&amp;B52)</f>
        <v>1</v>
      </c>
    </row>
    <row r="55" customFormat="false" ht="15" hidden="false" customHeight="false" outlineLevel="0" collapsed="false">
      <c r="A55" s="22" t="s">
        <v>96</v>
      </c>
      <c r="B55" s="28" t="n">
        <f aca="false">COUNTIF(Dados!F28:F39,"&gt;"&amp;B52)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5" min="3" style="0" width="14"/>
  </cols>
  <sheetData>
    <row r="1" customFormat="false" ht="16.15" hidden="false" customHeight="false" outlineLevel="0" collapsed="false">
      <c r="A1" s="20" t="s">
        <v>97</v>
      </c>
    </row>
    <row r="2" customFormat="false" ht="15" hidden="false" customHeight="false" outlineLevel="0" collapsed="false">
      <c r="A2" s="19" t="s">
        <v>98</v>
      </c>
    </row>
    <row r="4" customFormat="false" ht="15" hidden="false" customHeight="false" outlineLevel="0" collapsed="false">
      <c r="A4" s="21" t="s">
        <v>99</v>
      </c>
      <c r="B4" s="21" t="s">
        <v>100</v>
      </c>
      <c r="C4" s="21" t="s">
        <v>101</v>
      </c>
      <c r="D4" s="21" t="s">
        <v>102</v>
      </c>
      <c r="E4" s="21" t="s">
        <v>103</v>
      </c>
    </row>
    <row r="5" customFormat="false" ht="15" hidden="false" customHeight="false" outlineLevel="0" collapsed="false">
      <c r="A5" s="22" t="s">
        <v>104</v>
      </c>
      <c r="B5" s="22" t="s">
        <v>105</v>
      </c>
      <c r="C5" s="22" t="n">
        <v>64</v>
      </c>
      <c r="D5" s="29" t="n">
        <v>0.907452571206505</v>
      </c>
      <c r="E5" s="22" t="str">
        <f aca="false">IF(D5&lt;0.05,"Sim","Não")</f>
        <v>Não</v>
      </c>
    </row>
    <row r="6" customFormat="false" ht="15" hidden="false" customHeight="false" outlineLevel="0" collapsed="false">
      <c r="A6" s="22" t="s">
        <v>106</v>
      </c>
      <c r="B6" s="22" t="s">
        <v>105</v>
      </c>
      <c r="C6" s="22" t="n">
        <v>0</v>
      </c>
      <c r="D6" s="29" t="n">
        <v>0.000447313816884169</v>
      </c>
      <c r="E6" s="22" t="str">
        <f aca="false">IF(D6&lt;0.05,"Sim","Não")</f>
        <v>Sim</v>
      </c>
    </row>
    <row r="7" customFormat="false" ht="15" hidden="false" customHeight="false" outlineLevel="0" collapsed="false">
      <c r="A7" s="22" t="s">
        <v>107</v>
      </c>
      <c r="B7" s="22" t="s">
        <v>105</v>
      </c>
      <c r="C7" s="22" t="n">
        <v>7</v>
      </c>
      <c r="D7" s="29" t="n">
        <v>1.52961708347155E-005</v>
      </c>
      <c r="E7" s="22" t="str">
        <f aca="false">IF(D7&lt;0.05,"Sim","Não")</f>
        <v>Sim</v>
      </c>
    </row>
    <row r="8" customFormat="false" ht="15" hidden="false" customHeight="false" outlineLevel="0" collapsed="false">
      <c r="A8" s="22" t="s">
        <v>108</v>
      </c>
      <c r="B8" s="22" t="s">
        <v>105</v>
      </c>
      <c r="C8" s="22" t="n">
        <v>64</v>
      </c>
      <c r="D8" s="29" t="n">
        <v>0.0969463226392362</v>
      </c>
      <c r="E8" s="22" t="str">
        <f aca="false">IF(D8&lt;0.05,"Sim","Não")</f>
        <v>Não</v>
      </c>
    </row>
    <row r="9" customFormat="false" ht="15" hidden="false" customHeight="false" outlineLevel="0" collapsed="false">
      <c r="A9" s="22" t="s">
        <v>109</v>
      </c>
      <c r="B9" s="22" t="s">
        <v>105</v>
      </c>
      <c r="C9" s="22" t="n">
        <v>31</v>
      </c>
      <c r="D9" s="29" t="n">
        <v>0.105985319028797</v>
      </c>
      <c r="E9" s="22" t="str">
        <f aca="false">IF(D9&lt;0.05,"Sim","Não")</f>
        <v>Não</v>
      </c>
    </row>
    <row r="10" customFormat="false" ht="15" hidden="false" customHeight="false" outlineLevel="0" collapsed="false">
      <c r="A10" s="22" t="s">
        <v>110</v>
      </c>
      <c r="B10" s="22" t="s">
        <v>105</v>
      </c>
      <c r="C10" s="22" t="n">
        <v>77</v>
      </c>
      <c r="D10" s="29" t="n">
        <v>0.221174477696217</v>
      </c>
      <c r="E10" s="22" t="str">
        <f aca="false">IF(D10&lt;0.05,"Sim","Não")</f>
        <v>Não</v>
      </c>
    </row>
    <row r="11" customFormat="false" ht="15" hidden="false" customHeight="false" outlineLevel="0" collapsed="false">
      <c r="A11" s="22" t="s">
        <v>111</v>
      </c>
      <c r="B11" s="22" t="s">
        <v>105</v>
      </c>
      <c r="C11" s="22" t="n">
        <v>20</v>
      </c>
      <c r="D11" s="29" t="n">
        <v>0.000300274119441777</v>
      </c>
      <c r="E11" s="22" t="str">
        <f aca="false">IF(D11&lt;0.05,"Sim","Não")</f>
        <v>Sim</v>
      </c>
    </row>
    <row r="12" customFormat="false" ht="15" hidden="false" customHeight="false" outlineLevel="0" collapsed="false">
      <c r="A12" s="22" t="s">
        <v>112</v>
      </c>
      <c r="B12" s="22" t="s">
        <v>113</v>
      </c>
      <c r="C12" s="22" t="n">
        <v>0.608</v>
      </c>
      <c r="D12" s="29" t="n">
        <v>0.0359247793980711</v>
      </c>
      <c r="E12" s="22" t="str">
        <f aca="false">IF(D12&lt;0.05,"Sim","Não")</f>
        <v>Sim</v>
      </c>
    </row>
    <row r="13" customFormat="false" ht="15" hidden="false" customHeight="false" outlineLevel="0" collapsed="false">
      <c r="A13" s="22" t="s">
        <v>114</v>
      </c>
      <c r="B13" s="22" t="s">
        <v>113</v>
      </c>
      <c r="C13" s="22" t="n">
        <v>0.673</v>
      </c>
      <c r="D13" s="29" t="n">
        <v>0.0233007858478941</v>
      </c>
      <c r="E13" s="22" t="str">
        <f aca="false">IF(D13&lt;0.05,"Sim","Não")</f>
        <v>Sim</v>
      </c>
    </row>
    <row r="14" customFormat="false" ht="15" hidden="false" customHeight="false" outlineLevel="0" collapsed="false">
      <c r="A14" s="22" t="s">
        <v>115</v>
      </c>
      <c r="B14" s="22" t="s">
        <v>113</v>
      </c>
      <c r="C14" s="22" t="n">
        <v>0.198</v>
      </c>
      <c r="D14" s="29" t="n">
        <v>0.28608922045671</v>
      </c>
      <c r="E14" s="22" t="str">
        <f aca="false">IF(D14&lt;0.05,"Sim","Não")</f>
        <v>Não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2026-09-27T11:23:32Z</dcterms:created>
  <dc:creator>openpyxl</dc:creator>
  <dc:description/>
  <dc:language>en-US</dc:language>
  <cp:lastModifiedBy/>
  <dcterms:modified xsi:type="dcterms:W3CDTF">2026-09-27T11:23:33Z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