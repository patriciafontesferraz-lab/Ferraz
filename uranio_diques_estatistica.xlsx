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clusões" sheetId="1" state="visible" r:id="rId3"/>
    <sheet name="Dados" sheetId="2" state="visible" r:id="rId4"/>
    <sheet name="Estatística" sheetId="3" state="visible" r:id="rId5"/>
    <sheet name="Testes" sheetId="4" state="visible" r:id="rId6"/>
    <sheet name="Gráfico" sheetId="5" state="visible" r:id="rId7"/>
    <sheet name="Correlação" sheetId="6" state="visible" r:id="rId8"/>
    <sheet name="Dendrograma" sheetId="7" state="visible" r:id="rId9"/>
    <sheet name="Comparação artigo" sheetId="8" state="visible" r:id="rId10"/>
    <sheet name="Laudo SGS 2024" sheetId="9" state="visible" r:id="rId11"/>
    <sheet name="ETR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9" authorId="0">
      <text>
        <r>
          <rPr>
            <sz val="10"/>
            <rFont val="Arial"/>
            <family val="2"/>
          </rPr>
          <t xml:space="preserve">Outlier extremo (2310 ppm). Colocado na última linha para que as estatísticas 'sem outlier' usem um intervalo contínuo.</t>
        </r>
      </text>
    </comment>
  </commentList>
</comments>
</file>

<file path=xl/sharedStrings.xml><?xml version="1.0" encoding="utf-8"?>
<sst xmlns="http://schemas.openxmlformats.org/spreadsheetml/2006/main" count="532" uniqueCount="316">
  <si>
    <t xml:space="preserve">Conclusões integradas (estatística das Tabelas 1–2 + matriz de correlação e dendrograma)</t>
  </si>
  <si>
    <t xml:space="preserve">1. A matriz é das amostras de granito da Tabela 1 (n ≈ 25)</t>
  </si>
  <si>
    <t xml:space="preserve">Os r entre U total, solúvel e fixo recalculados dos dados (0,923 / 0,539 / 0,173) reproduzem os da Tabela 3 (0,926 / 0,555 / 0,202). Com n = 25, só |r| ≥ 0,40 é significativo a 5% e |r| ≥ 0,51 a 1%.</t>
  </si>
  <si>
    <t xml:space="preserve">2. O urânio quase não se correlaciona significativamente com nada</t>
  </si>
  <si>
    <t xml:space="preserve">Além das relações entre as próprias frações de U, só o Sn é significativo (Sn × U solúvel 0,56; Sn × U total 0,43). Y (0,26 com U total; 0,37 com U solúvel, p ≈ 0,07) fica abaixo do limiar. Zr (0,11), Nb (0,30), SiO2 (0,21) e K2O (0,04) com U fixo, e K2O (0,003) e SiO2 (0,09) com U total, são estatisticamente nulos.</t>
  </si>
  <si>
    <t xml:space="preserve">3. Parte das interpretações do artigo não tem apoio estatístico</t>
  </si>
  <si>
    <t xml:space="preserve">O artigo associa U fixo a Zr, Nb, SiO2 e K2O, U solúvel a Fe2O3 (r = 0,04) e U total a K2O (r = 0,003). Esses coeficientes são praticamente zero; a associação com zircão, xenotima e óxidos de Fe se apoia na autorradiografia e no MEV, não na matriz. O próprio artigo recomenda cautela com a matriz.</t>
  </si>
  <si>
    <t xml:space="preserve">4. U solúvel e U fixo variam de forma independente no granito</t>
  </si>
  <si>
    <t xml:space="preserve">U total é controlado pela fração solúvel (r = 0,93) e só moderadamente pela fixa (0,55); solúvel × fixo = 0,20 (n.s.). São dois 'reservatórios' distintos: intersticial/lixiviável, que domina a variação, e resistato, quase constante (≈ 2–4 ppm).</t>
  </si>
  <si>
    <t xml:space="preserve">5. Dendrograma (WPGMA, recalculado) – 4 grupos</t>
  </si>
  <si>
    <t xml:space="preserve">(a) TiO2–Fe2O3–FeO–MnO–CaO: máficos/óxidos de Fe-Ti. (b) Al2O3–Na2O–K2O–Pb: feldspatos, oposto a SiO2 (Pb × SiO2 = −0,83; parte é efeito de soma constante). (c) U total–U solúvel–Sn–Y: o U lixiviável se agrupa com Sn e Y, sugerindo fase tardi/pós-magmática rica em fluidos (Sn é típico dessa fase em granitos evoluídos). (d) SiO2–Nb–Zr–U fixo: U fixo entra só a r ≈ 0,21, abaixo do significativo; posição frágil.</t>
  </si>
  <si>
    <t xml:space="preserve">6. Contraste granito × diques</t>
  </si>
  <si>
    <t xml:space="preserve">No granito, U varia pela fração solúvel e não acompanha o Th (ThO2 &lt; 100 ppm). Nos diques (sem S3 16,20), U acompanha o ThO2 (ρ ≈ 0,67, p = 0,02) e a fração fixa pesa mais (U total × U fixo r = 0,76 contra 0,55 no granito). Isso indica controle magmático (acessórios com U+Th: zircão, allanita) nos diques, enquanto no granito predomina a redistribuição tardia do U.</t>
  </si>
  <si>
    <t xml:space="preserve">7. S3 16,20 (2310 ppm) deve ser tratada à parte</t>
  </si>
  <si>
    <t xml:space="preserve">O artigo a exclui das médias sem comentar. Com 99,8% de U solúvel e ThO2/U3O8 ≈ 0,1, é concentração secundária (hidrotermal ou supergênica) desacoplada do Th. É o único indício de mobilização expressiva de U e merece checagem de campo e de laboratório.</t>
  </si>
  <si>
    <t xml:space="preserve">8. Limitações</t>
  </si>
  <si>
    <t xml:space="preserve">A matriz não inclui os diques (n &lt; 30, segundo os autores). Vários elementos-traço estão perto do limite de detecção. Há efeito de soma constante nos óxidos maiores e não há coordenadas das amostras. Uma matriz de Spearman ou com log-razões (CLR) seria mais adequada, mas exige os teores originais dos elementos maiores e traços, que o artigo não publica.</t>
  </si>
  <si>
    <t xml:space="preserve">Amostra</t>
  </si>
  <si>
    <t xml:space="preserve">Tabela</t>
  </si>
  <si>
    <t xml:space="preserve">Grupo</t>
  </si>
  <si>
    <t xml:space="preserve">Furo</t>
  </si>
  <si>
    <t xml:space="preserve">Profundidade (m)*</t>
  </si>
  <si>
    <t xml:space="preserve">U3O8 total (ppm)</t>
  </si>
  <si>
    <t xml:space="preserve">U3O8 solúvel (ppm)</t>
  </si>
  <si>
    <t xml:space="preserve">U3O8 fixo (ppm)</t>
  </si>
  <si>
    <t xml:space="preserve">ThO2 (ppm, como reportado)</t>
  </si>
  <si>
    <t xml:space="preserve">ThO2 numérico (ppm)</t>
  </si>
  <si>
    <t xml:space="preserve">% solúvel</t>
  </si>
  <si>
    <t xml:space="preserve">ThO2/U3O8</t>
  </si>
  <si>
    <t xml:space="preserve">|U − mediana fundo| (aux.)</t>
  </si>
  <si>
    <t xml:space="preserve">CV03</t>
  </si>
  <si>
    <t xml:space="preserve">Superfície</t>
  </si>
  <si>
    <t xml:space="preserve">CV (superfície)</t>
  </si>
  <si>
    <t xml:space="preserve">&lt;100</t>
  </si>
  <si>
    <t xml:space="preserve">CV07</t>
  </si>
  <si>
    <t xml:space="preserve">CV07A</t>
  </si>
  <si>
    <t xml:space="preserve">CV11</t>
  </si>
  <si>
    <t xml:space="preserve">CV17</t>
  </si>
  <si>
    <t xml:space="preserve">CV17A</t>
  </si>
  <si>
    <t xml:space="preserve">CV25</t>
  </si>
  <si>
    <t xml:space="preserve">F1 33,90</t>
  </si>
  <si>
    <t xml:space="preserve">Subsuperfície</t>
  </si>
  <si>
    <t xml:space="preserve">F1</t>
  </si>
  <si>
    <t xml:space="preserve">F2 37,85</t>
  </si>
  <si>
    <t xml:space="preserve">F2</t>
  </si>
  <si>
    <t xml:space="preserve">F2 50,50</t>
  </si>
  <si>
    <t xml:space="preserve">F2 63,65</t>
  </si>
  <si>
    <t xml:space="preserve">F2 64,90</t>
  </si>
  <si>
    <t xml:space="preserve">F2 68,90</t>
  </si>
  <si>
    <t xml:space="preserve">S3 34,90</t>
  </si>
  <si>
    <t xml:space="preserve">S3</t>
  </si>
  <si>
    <t xml:space="preserve">S3 53,45</t>
  </si>
  <si>
    <t xml:space="preserve">S3 66,15</t>
  </si>
  <si>
    <t xml:space="preserve">S7 18,90</t>
  </si>
  <si>
    <t xml:space="preserve">S7</t>
  </si>
  <si>
    <t xml:space="preserve">S8 23,50</t>
  </si>
  <si>
    <t xml:space="preserve">S8</t>
  </si>
  <si>
    <t xml:space="preserve">S8 33,50</t>
  </si>
  <si>
    <t xml:space="preserve">S8 48,25</t>
  </si>
  <si>
    <t xml:space="preserve">S8 70,50</t>
  </si>
  <si>
    <t xml:space="preserve">S8 76,70</t>
  </si>
  <si>
    <t xml:space="preserve">S8 83,25</t>
  </si>
  <si>
    <t xml:space="preserve">S9 79,15</t>
  </si>
  <si>
    <t xml:space="preserve">S9</t>
  </si>
  <si>
    <t xml:space="preserve">S9 82,70</t>
  </si>
  <si>
    <t xml:space="preserve">S10 22,70</t>
  </si>
  <si>
    <t xml:space="preserve">S10</t>
  </si>
  <si>
    <t xml:space="preserve">F1 54,80</t>
  </si>
  <si>
    <t xml:space="preserve">Dique félsico anômalo</t>
  </si>
  <si>
    <t xml:space="preserve">F2 77,75</t>
  </si>
  <si>
    <t xml:space="preserve">F3 130,15</t>
  </si>
  <si>
    <t xml:space="preserve">F3</t>
  </si>
  <si>
    <t xml:space="preserve">S2 114,60</t>
  </si>
  <si>
    <t xml:space="preserve">S2</t>
  </si>
  <si>
    <t xml:space="preserve">S3 21,35</t>
  </si>
  <si>
    <t xml:space="preserve">S3 28,10</t>
  </si>
  <si>
    <t xml:space="preserve">S3 45,48</t>
  </si>
  <si>
    <t xml:space="preserve">S3 60,50</t>
  </si>
  <si>
    <t xml:space="preserve">S8 141,90</t>
  </si>
  <si>
    <t xml:space="preserve">S9 80,20</t>
  </si>
  <si>
    <t xml:space="preserve">S9 109,80</t>
  </si>
  <si>
    <t xml:space="preserve">S3 16,20</t>
  </si>
  <si>
    <t xml:space="preserve">Fonte: tabelas fornecidas pela usuária (imagem). Texto azul = valor transcrito; preto = fórmula.</t>
  </si>
  <si>
    <t xml:space="preserve">* Profundidade inferida do código da amostra (ex.: 'F2 63,65' = furo F2, 63,65 m). CV = superfície (0 m). Confirmar com a fonte.</t>
  </si>
  <si>
    <t xml:space="preserve">'–' na tabela original = sem análise; células deixadas em branco (CV03 e S9 109,80 sem solúvel/fixo).</t>
  </si>
  <si>
    <t xml:space="preserve">ThO2 '&lt;100' = abaixo do limite de detecção; coluna numérica deixada em branco nesses casos.</t>
  </si>
  <si>
    <t xml:space="preserve">Grupos: Superfície = CV (Tab. 1); Subsuperfície = F e S da Tab. 1; Dique félsico anômalo = Tab. 2 (também subsuperfície).</t>
  </si>
  <si>
    <t xml:space="preserve">Estatística descritiva de U3O8 por grupo</t>
  </si>
  <si>
    <t xml:space="preserve">U3O8 TOTAL (ppm)</t>
  </si>
  <si>
    <t xml:space="preserve">Superfície (CV)</t>
  </si>
  <si>
    <t xml:space="preserve">Subsuperfície – Tab. 1 (F, S)</t>
  </si>
  <si>
    <t xml:space="preserve">Diques félsicos anômalos (Tab. 2)</t>
  </si>
  <si>
    <t xml:space="preserve">Diques s/ S3 16,20</t>
  </si>
  <si>
    <t xml:space="preserve">Subsuperfície total</t>
  </si>
  <si>
    <t xml:space="preserve">Fundo: CV + Tab. 1</t>
  </si>
  <si>
    <t xml:space="preserve">n</t>
  </si>
  <si>
    <t xml:space="preserve">Média</t>
  </si>
  <si>
    <t xml:space="preserve">Mediana</t>
  </si>
  <si>
    <t xml:space="preserve">Média geométrica</t>
  </si>
  <si>
    <t xml:space="preserve">Desvio padrão</t>
  </si>
  <si>
    <t xml:space="preserve">Coef. de variação</t>
  </si>
  <si>
    <t xml:space="preserve">Mínimo</t>
  </si>
  <si>
    <t xml:space="preserve">1º quartil</t>
  </si>
  <si>
    <t xml:space="preserve">3º quartil</t>
  </si>
  <si>
    <t xml:space="preserve">Máximo</t>
  </si>
  <si>
    <t xml:space="preserve">U3O8 SOLÚVEL (ppm)</t>
  </si>
  <si>
    <t xml:space="preserve">U3O8 FIXO (ppm)</t>
  </si>
  <si>
    <t xml:space="preserve">FRAÇÃO SOLÚVEL (% do total)</t>
  </si>
  <si>
    <t xml:space="preserve">LIMIAR DE ANOMALIA (U3O8 total, a partir do fundo CV + Tab. 1)</t>
  </si>
  <si>
    <t xml:space="preserve">Média + 2·DP (ppm)</t>
  </si>
  <si>
    <t xml:space="preserve">Mediana + 2·MAD (ppm)</t>
  </si>
  <si>
    <t xml:space="preserve">MAD escalado (×1,4826), robusto a outliers</t>
  </si>
  <si>
    <t xml:space="preserve">Amostras de fundo (CV + Tab. 1) acima do limiar (média+2DP)</t>
  </si>
  <si>
    <t xml:space="preserve">Diques (Tab. 2) acima do limiar (média+2DP)</t>
  </si>
  <si>
    <t xml:space="preserve">Testes estatísticos não paramétricos (α = 0,05)</t>
  </si>
  <si>
    <t xml:space="preserve">Valores calculados em Python/SciPy (não recalculam no Excel). Testes não paramétricos escolhidos porque as distribuições são assimétricas e n é pequeno.</t>
  </si>
  <si>
    <t xml:space="preserve">Comparação</t>
  </si>
  <si>
    <t xml:space="preserve">Teste</t>
  </si>
  <si>
    <t xml:space="preserve">Estatística</t>
  </si>
  <si>
    <t xml:space="preserve">p-valor</t>
  </si>
  <si>
    <t xml:space="preserve">Significativo?</t>
  </si>
  <si>
    <t xml:space="preserve">U total: Superfície × Subsuperfície Tab. 1</t>
  </si>
  <si>
    <t xml:space="preserve">Mann-Whitney U (bilateral)</t>
  </si>
  <si>
    <t xml:space="preserve">U total: Superfície × Diques</t>
  </si>
  <si>
    <t xml:space="preserve">U total: Subsuperfície Tab. 1 × Diques</t>
  </si>
  <si>
    <t xml:space="preserve">U total: Superfície × Subsuperfície total</t>
  </si>
  <si>
    <t xml:space="preserve">% solúvel: Superfície × Subsuperfície Tab. 1</t>
  </si>
  <si>
    <t xml:space="preserve">U fixo: Superfície × Subsuperfície Tab. 1</t>
  </si>
  <si>
    <t xml:space="preserve">U fixo: Subsuperfície Tab. 1 × Diques</t>
  </si>
  <si>
    <t xml:space="preserve">U total × ThO2 nos diques (n=12)</t>
  </si>
  <si>
    <t xml:space="preserve">Spearman ρ</t>
  </si>
  <si>
    <t xml:space="preserve">U total × ThO2 nos diques sem S3 16,20 (n=11)</t>
  </si>
  <si>
    <t xml:space="preserve">U total × profundidade (subsuperfície, n=31)</t>
  </si>
  <si>
    <t xml:space="preserve">Matriz de correlação (Pearson) – elementos maiores e traços do Granito Serra do Carambeí</t>
  </si>
  <si>
    <t xml:space="preserve">Fonte: Pinto-Coelho &amp; Siedlecki (1988), Rev. Bras. Geoc. 18(4):433-440, Tabela 3. Só granito (diques não incluídos pelos autores, n&lt;30). Valores transcritos em azul; triângulo inferior espelhado.</t>
  </si>
  <si>
    <t xml:space="preserve">n (amostras de granito)</t>
  </si>
  <si>
    <t xml:space="preserve">Inferido: os r de U tot/sol/fixo da Tabela 3 são reproduzidos com as 25 amostras da Tab. 1 que têm U solúvel (ver abaixo).</t>
  </si>
  <si>
    <t xml:space="preserve">r crítico (α = 0,05, bilateral)</t>
  </si>
  <si>
    <t xml:space="preserve">r crítico (α = 0,01, bilateral)</t>
  </si>
  <si>
    <t xml:space="preserve">SiO2</t>
  </si>
  <si>
    <t xml:space="preserve">TiO2</t>
  </si>
  <si>
    <t xml:space="preserve">Al2O3</t>
  </si>
  <si>
    <t xml:space="preserve">Fe2O3</t>
  </si>
  <si>
    <t xml:space="preserve">FeO</t>
  </si>
  <si>
    <t xml:space="preserve">CaO</t>
  </si>
  <si>
    <t xml:space="preserve">Na2O</t>
  </si>
  <si>
    <t xml:space="preserve">K2O</t>
  </si>
  <si>
    <t xml:space="preserve">MnO</t>
  </si>
  <si>
    <t xml:space="preserve">Sn</t>
  </si>
  <si>
    <t xml:space="preserve">Nb</t>
  </si>
  <si>
    <t xml:space="preserve">Y</t>
  </si>
  <si>
    <t xml:space="preserve">Zr</t>
  </si>
  <si>
    <t xml:space="preserve">Pb</t>
  </si>
  <si>
    <t xml:space="preserve">U total</t>
  </si>
  <si>
    <t xml:space="preserve">U solúvel</t>
  </si>
  <si>
    <t xml:space="preserve">U fixo</t>
  </si>
  <si>
    <t xml:space="preserve">Negrito = |r| ≥ r crítico (significativo a 5%). Cor: azul = positiva, vermelho = negativa.</t>
  </si>
  <si>
    <t xml:space="preserve">CORRELAÇÕES DO URÂNIO (ordenadas por |r| de U total)</t>
  </si>
  <si>
    <t xml:space="preserve">Elemento</t>
  </si>
  <si>
    <t xml:space="preserve">r U total</t>
  </si>
  <si>
    <t xml:space="preserve">p</t>
  </si>
  <si>
    <t xml:space="preserve">r U solúvel</t>
  </si>
  <si>
    <t xml:space="preserve">r U fixo</t>
  </si>
  <si>
    <t xml:space="preserve">Verde = p &lt; 0,05. p calculado por t = r·√((n−2)/(1−r²)).</t>
  </si>
  <si>
    <t xml:space="preserve">VERIFICAÇÃO: r recalculado a partir da aba Dados (granito, Tab. 1)</t>
  </si>
  <si>
    <t xml:space="preserve">Par</t>
  </si>
  <si>
    <t xml:space="preserve">r artigo (Tab. 3)</t>
  </si>
  <si>
    <t xml:space="preserve">r recalculado</t>
  </si>
  <si>
    <t xml:space="preserve">Diferença</t>
  </si>
  <si>
    <t xml:space="preserve">U total × U solúvel</t>
  </si>
  <si>
    <t xml:space="preserve">U total × U fixo</t>
  </si>
  <si>
    <t xml:space="preserve">U solúvel × U fixo</t>
  </si>
  <si>
    <t xml:space="preserve">CORREL ignora pares com célula vazia (CV03), resultando em n = 25. A concordância confirma que a Tab. 3 usa essas amostras.</t>
  </si>
  <si>
    <t xml:space="preserve">Dendrograma recalculado a partir da matriz de correlação (Tabela 3)</t>
  </si>
  <si>
    <t xml:space="preserve">Método: ligação média ponderada (WPGMA), distância = 1 − r. Reproduz a topologia da Figura 2 do artigo.</t>
  </si>
  <si>
    <t xml:space="preserve">Agrupamento (corte em r ≈ 0,17)</t>
  </si>
  <si>
    <t xml:space="preserve">SiO2, Nb, Zr, U fixo</t>
  </si>
  <si>
    <t xml:space="preserve">Resíduo silicoso / acessórios resistatos (zircão). Ligação fraca (r ≈ 0,21).</t>
  </si>
  <si>
    <t xml:space="preserve">Al2O3, Na2O, K2O, Pb</t>
  </si>
  <si>
    <t xml:space="preserve">Feldspatos (Pb no K-feldspato); anticorrelacionado a SiO2.</t>
  </si>
  <si>
    <t xml:space="preserve">TiO2, Fe2O3, FeO, CaO, MnO</t>
  </si>
  <si>
    <t xml:space="preserve">Máficos / óxidos de Fe-Ti (ilmenita, magnetita, titanita).</t>
  </si>
  <si>
    <t xml:space="preserve">Sn, Y, U total, U solúvel</t>
  </si>
  <si>
    <t xml:space="preserve">Urânio lixiviável + Sn e Y (fases intersticiais, xenotima).</t>
  </si>
  <si>
    <t xml:space="preserve">Conferência com Pinto-Coelho &amp; Siedlecki (1988)</t>
  </si>
  <si>
    <t xml:space="preserve">Parâmetro</t>
  </si>
  <si>
    <t xml:space="preserve">Artigo</t>
  </si>
  <si>
    <t xml:space="preserve">Recalculado</t>
  </si>
  <si>
    <t xml:space="preserve">Observação</t>
  </si>
  <si>
    <t xml:space="preserve">U3O8 total médio – granito (ppm)</t>
  </si>
  <si>
    <t xml:space="preserve">CV + Tab. 1 (n=26). Confere.</t>
  </si>
  <si>
    <t xml:space="preserve">U3O8 total – granito, mínimo (ppm)</t>
  </si>
  <si>
    <t xml:space="preserve">O artigo diz 5–26; o mínimo real é 4 (F1 33,90).</t>
  </si>
  <si>
    <t xml:space="preserve">U3O8 total – granito, máximo (ppm)</t>
  </si>
  <si>
    <t xml:space="preserve">Confere.</t>
  </si>
  <si>
    <t xml:space="preserve">U solúvel / U total – granito</t>
  </si>
  <si>
    <t xml:space="preserve">Razão das somas (sem CV03). Confere.</t>
  </si>
  <si>
    <t xml:space="preserve">U solúvel / U total – superfície</t>
  </si>
  <si>
    <t xml:space="preserve">U solúvel / U total – subsuperfície</t>
  </si>
  <si>
    <t xml:space="preserve">U3O8 total médio – diques (ppm)</t>
  </si>
  <si>
    <t xml:space="preserve">Só confere EXCLUINDO S3 16,20 (2310 ppm); o artigo não menciona essa amostra.</t>
  </si>
  <si>
    <t xml:space="preserve">U3O8 total – diques, faixa (ppm)</t>
  </si>
  <si>
    <t xml:space="preserve">18–56</t>
  </si>
  <si>
    <t xml:space="preserve">Idem: faixa sem S3 16,20.</t>
  </si>
  <si>
    <t xml:space="preserve">U solúvel / U total – diques</t>
  </si>
  <si>
    <t xml:space="preserve">NÃO confere (65,4% recalculado). Origem dos 59,4% não identificada.</t>
  </si>
  <si>
    <t xml:space="preserve">ThO2 médio – diques (ppm)</t>
  </si>
  <si>
    <t xml:space="preserve">Confere (inclui as 12 amostras).</t>
  </si>
  <si>
    <t xml:space="preserve">Razão diques / granito (U total médio)</t>
  </si>
  <si>
    <t xml:space="preserve">≈ 4×</t>
  </si>
  <si>
    <t xml:space="preserve">Confere (3,4×).</t>
  </si>
  <si>
    <t xml:space="preserve">r Sn × U total (texto do artigo)</t>
  </si>
  <si>
    <t xml:space="preserve">Erro de digitação no texto: a Tabela 3 traz 0,4322.</t>
  </si>
  <si>
    <t xml:space="preserve">Laudo SGS Geosol GQ2407332 (emitido em 12/08/2024) – 4 amostras de superfície, Pedreira Genaro, Catanduvas de Fora, Carambeí/PR</t>
  </si>
  <si>
    <t xml:space="preserve">Fusão com metaborato de lítio; ICP-OES (maiores) e ICP-MS (traços). Óxidos e LOI em %, demais em ppm. Valores transcritos em azul; '&lt;LD' deixado em branco.</t>
  </si>
  <si>
    <t xml:space="preserve">Analito</t>
  </si>
  <si>
    <t xml:space="preserve">AM 01</t>
  </si>
  <si>
    <t xml:space="preserve">AM 02</t>
  </si>
  <si>
    <t xml:space="preserve">AM 03</t>
  </si>
  <si>
    <t xml:space="preserve">AM 04</t>
  </si>
  <si>
    <t xml:space="preserve">REP AM 04</t>
  </si>
  <si>
    <t xml:space="preserve">BRANCO_PREP</t>
  </si>
  <si>
    <t xml:space="preserve">MgO</t>
  </si>
  <si>
    <t xml:space="preserve">P2O5</t>
  </si>
  <si>
    <t xml:space="preserve">LOI</t>
  </si>
  <si>
    <t xml:space="preserve">Ba</t>
  </si>
  <si>
    <t xml:space="preserve">Sr</t>
  </si>
  <si>
    <t xml:space="preserve">Zn</t>
  </si>
  <si>
    <t xml:space="preserve">V</t>
  </si>
  <si>
    <t xml:space="preserve">Ce</t>
  </si>
  <si>
    <t xml:space="preserve">Co</t>
  </si>
  <si>
    <t xml:space="preserve">Cs</t>
  </si>
  <si>
    <t xml:space="preserve">Cu</t>
  </si>
  <si>
    <t xml:space="preserve">Dy</t>
  </si>
  <si>
    <t xml:space="preserve">Er</t>
  </si>
  <si>
    <t xml:space="preserve">Eu</t>
  </si>
  <si>
    <t xml:space="preserve">Ga</t>
  </si>
  <si>
    <t xml:space="preserve">Gd</t>
  </si>
  <si>
    <t xml:space="preserve">Hf</t>
  </si>
  <si>
    <t xml:space="preserve">Ho</t>
  </si>
  <si>
    <t xml:space="preserve">La</t>
  </si>
  <si>
    <t xml:space="preserve">Lu</t>
  </si>
  <si>
    <t xml:space="preserve">Mo</t>
  </si>
  <si>
    <t xml:space="preserve">Nd</t>
  </si>
  <si>
    <t xml:space="preserve">Ni</t>
  </si>
  <si>
    <t xml:space="preserve">Pr</t>
  </si>
  <si>
    <t xml:space="preserve">Rb</t>
  </si>
  <si>
    <t xml:space="preserve">Sm</t>
  </si>
  <si>
    <t xml:space="preserve">Ta</t>
  </si>
  <si>
    <t xml:space="preserve">Tb</t>
  </si>
  <si>
    <t xml:space="preserve">Th</t>
  </si>
  <si>
    <t xml:space="preserve">Tm</t>
  </si>
  <si>
    <t xml:space="preserve">U</t>
  </si>
  <si>
    <t xml:space="preserve">W</t>
  </si>
  <si>
    <t xml:space="preserve">Yb</t>
  </si>
  <si>
    <t xml:space="preserve">PARÂMETROS CALCULADOS</t>
  </si>
  <si>
    <t xml:space="preserve">Soma óxidos + LOI (%)</t>
  </si>
  <si>
    <t xml:space="preserve">U3O8 (ppm) = U × 1,1792</t>
  </si>
  <si>
    <t xml:space="preserve">ThO2 (ppm) = Th × 1,1379</t>
  </si>
  <si>
    <t xml:space="preserve">Th/U</t>
  </si>
  <si>
    <t xml:space="preserve">Índice agpaítico (Na+K)/Al molar</t>
  </si>
  <si>
    <t xml:space="preserve">ASI Al/(Ca+Na+K) molar</t>
  </si>
  <si>
    <t xml:space="preserve">10⁴·Ga/Al (tipo A &gt; 2,6)</t>
  </si>
  <si>
    <t xml:space="preserve">Zr+Nb+Ce+Y (tipo A &gt; 350 ppm)</t>
  </si>
  <si>
    <t xml:space="preserve">Rb/Sr</t>
  </si>
  <si>
    <t xml:space="preserve">Eu/Eu* (condrito Sun &amp; McDonough 1989)</t>
  </si>
  <si>
    <t xml:space="preserve">(La/Yb)N</t>
  </si>
  <si>
    <t xml:space="preserve">Ra-226 estimado (Bq/kg) = U × 12,35</t>
  </si>
  <si>
    <t xml:space="preserve">Th-232 (Bq/kg) = Th × 4,06</t>
  </si>
  <si>
    <t xml:space="preserve">K-40 (Bq/kg) = K2O × 0,8301 × 313</t>
  </si>
  <si>
    <t xml:space="preserve">Índice I (Ra/300 + Th/200 + K/3000)</t>
  </si>
  <si>
    <t xml:space="preserve">Eu de AM 02 &lt; LD (0,05 ppm): Eu/Eu* não calculado; nas demais, Eu está no LD, então Eu/Eu* é valor máximo.</t>
  </si>
  <si>
    <t xml:space="preserve">Ra-226 supõe equilíbrio secular com U-238, hipótese frágil numa rocha em que ~70% do U é solúvel (Tabela 1, 1988). Medir por espectrometria gama.</t>
  </si>
  <si>
    <t xml:space="preserve">Índice I (Diretiva 2013/59/Euratom, Anexo VIII): triagem para material de construção; I ≤ 1 em uso de massa. Referência europeia, não norma brasileira.</t>
  </si>
  <si>
    <t xml:space="preserve">Soma de óxidos fora de 98,5–101,5% em AM 02, AM 03 e AM 04; réplica de AM 04 difere 2 pontos em SiO2. Os óxidos maiores são pouco precisos.</t>
  </si>
  <si>
    <t xml:space="preserve">COMPARAÇÃO DO U3O8 COM 1988 (superfície CV)</t>
  </si>
  <si>
    <t xml:space="preserve">Mediana U3O8 – 2024 (4 amostras)</t>
  </si>
  <si>
    <t xml:space="preserve">Mediana U3O8 – 1988 superfície (CV)</t>
  </si>
  <si>
    <t xml:space="preserve">Faixa 1988 superfície (mín–máx)</t>
  </si>
  <si>
    <t xml:space="preserve">Faixa 1988 granito subsuperfície (mín–máx)</t>
  </si>
  <si>
    <t xml:space="preserve">Limiar de anomalia do granito (média+2DP)</t>
  </si>
  <si>
    <t xml:space="preserve">Terras raras (ETR) – laudo SGS 2024, conversão para óxidos (TREO)</t>
  </si>
  <si>
    <t xml:space="preserve">Fatores elemento→óxido padrão (Ce como CeO2, Pr como Pr6O11, Tb como Tb4O7, demais R2O3). Teores em ppm; links em verde para a aba 'Laudo SGS 2024'.</t>
  </si>
  <si>
    <t xml:space="preserve">Fator óxido</t>
  </si>
  <si>
    <t xml:space="preserve">La (óxido)</t>
  </si>
  <si>
    <t xml:space="preserve">leve</t>
  </si>
  <si>
    <t xml:space="preserve">Ce (óxido)</t>
  </si>
  <si>
    <t xml:space="preserve">Pr (óxido)</t>
  </si>
  <si>
    <t xml:space="preserve">Nd (óxido)</t>
  </si>
  <si>
    <t xml:space="preserve">Sm (óxido)</t>
  </si>
  <si>
    <t xml:space="preserve">Eu (óxido)</t>
  </si>
  <si>
    <t xml:space="preserve">pesado+Y</t>
  </si>
  <si>
    <t xml:space="preserve">Gd (óxido)</t>
  </si>
  <si>
    <t xml:space="preserve">Tb (óxido)</t>
  </si>
  <si>
    <t xml:space="preserve">Dy (óxido)</t>
  </si>
  <si>
    <t xml:space="preserve">Ho (óxido)</t>
  </si>
  <si>
    <t xml:space="preserve">Er (óxido)</t>
  </si>
  <si>
    <t xml:space="preserve">Tm (óxido)</t>
  </si>
  <si>
    <t xml:space="preserve">Yb (óxido)</t>
  </si>
  <si>
    <t xml:space="preserve">Lu (óxido)</t>
  </si>
  <si>
    <t xml:space="preserve">Y (óxido)</t>
  </si>
  <si>
    <t xml:space="preserve">TREO (ppm)</t>
  </si>
  <si>
    <t xml:space="preserve">TREO (%)</t>
  </si>
  <si>
    <t xml:space="preserve">ETR pesados + Y (HREO) / TREO</t>
  </si>
  <si>
    <t xml:space="preserve">Y2O3 / TREO</t>
  </si>
  <si>
    <t xml:space="preserve">Óxidos 'ímã' Nd+Pr+Dy+Tb (ppm)</t>
  </si>
  <si>
    <t xml:space="preserve">Dy2O3 + Tb4O7 (ppm)</t>
  </si>
  <si>
    <t xml:space="preserve">TREO / Th (quanto maior, menos radioativo por ETR)</t>
  </si>
  <si>
    <t xml:space="preserve">TREO relativo à crosta superior (~204 ppm TREO)</t>
  </si>
  <si>
    <t xml:space="preserve">Referência: TREO da crosta continental superior (ppm)</t>
  </si>
  <si>
    <t xml:space="preserve">Soma dos ETR+Y de Rudnick &amp; Gao (2003) convertidos em óxidos.</t>
  </si>
  <si>
    <t xml:space="preserve">Ordens de grandeza para comparação (aproximadas, variam por projeto):</t>
  </si>
  <si>
    <t xml:space="preserve">• Granito comum: ~150–300 ppm TREO.</t>
  </si>
  <si>
    <t xml:space="preserve">• Depósitos de argila iônica (regolito): tipicamente ~500–3.000 ppm TREO no horizonte enriquecido, com ETR extraíveis por troca iônica.</t>
  </si>
  <si>
    <t xml:space="preserve">• Depósitos em rocha dura (carbonatitos, pegmatitos, complexos alcalinos): em geral &gt; 1% TREO.</t>
  </si>
  <si>
    <t xml:space="preserve">Os valores de 2024 são de rocha FRESCA (LOI ≤ 1,1%). O potencial para argila iônica depende do perfil de alteração, que não foi analisado.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</si>
</sst>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"/>
    <numFmt numFmtId="166" formatCode="0.0%"/>
    <numFmt numFmtId="167" formatCode="0"/>
    <numFmt numFmtId="168" formatCode="0%"/>
    <numFmt numFmtId="169" formatCode="0.0000"/>
    <numFmt numFmtId="170" formatCode="0.000"/>
    <numFmt numFmtId="171" formatCode="@"/>
    <numFmt numFmtId="172" formatCode="0.0"/>
    <numFmt numFmtId="173" formatCode="0.0\×"/>
    <numFmt numFmtId="174" formatCode="0.00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  <font>
      <b val="true"/>
      <sz val="11"/>
      <color rgb="FF2A78D6"/>
      <name val="Arial"/>
      <family val="0"/>
      <charset val="1"/>
    </font>
    <font>
      <b val="true"/>
      <sz val="11"/>
      <color rgb="FFEB6834"/>
      <name val="Arial"/>
      <family val="0"/>
      <charset val="1"/>
    </font>
    <font>
      <b val="true"/>
      <sz val="11"/>
      <color rgb="FF1BAF7A"/>
      <name val="Arial"/>
      <family val="0"/>
      <charset val="1"/>
    </font>
    <font>
      <b val="true"/>
      <sz val="11"/>
      <color rgb="FFC985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</font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2EFDA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CE4D6"/>
      <rgbColor rgb="FF2A78D6"/>
      <rgbColor rgb="FF33CCCC"/>
      <rgbColor rgb="FF99CC00"/>
      <rgbColor rgb="FFFFCC00"/>
      <rgbColor rgb="FFC98500"/>
      <rgbColor rgb="FFEB6834"/>
      <rgbColor rgb="FF666699"/>
      <rgbColor rgb="FF969696"/>
      <rgbColor rgb="FF003366"/>
      <rgbColor rgb="FF1BAF7A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31680</xdr:colOff>
      <xdr:row>24</xdr:row>
      <xdr:rowOff>190080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7619760" cy="4762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176040</xdr:rowOff>
    </xdr:from>
    <xdr:to>
      <xdr:col>9</xdr:col>
      <xdr:colOff>456840</xdr:colOff>
      <xdr:row>29</xdr:row>
      <xdr:rowOff>176040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571680"/>
          <a:ext cx="7286400" cy="5143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176040</xdr:rowOff>
    </xdr:from>
    <xdr:to>
      <xdr:col>17</xdr:col>
      <xdr:colOff>456840</xdr:colOff>
      <xdr:row>25</xdr:row>
      <xdr:rowOff>80280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11071080" y="571680"/>
          <a:ext cx="7286400" cy="4285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</row>
    <row r="6" customFormat="false" ht="15" hidden="false" customHeight="false" outlineLevel="0" collapsed="false">
      <c r="A6" s="2" t="s">
        <v>3</v>
      </c>
    </row>
    <row r="7" customFormat="false" ht="45" hidden="false" customHeight="true" outlineLevel="0" collapsed="false">
      <c r="A7" s="3" t="s">
        <v>4</v>
      </c>
    </row>
    <row r="9" customFormat="false" ht="15" hidden="false" customHeight="false" outlineLevel="0" collapsed="false">
      <c r="A9" s="2" t="s">
        <v>5</v>
      </c>
    </row>
    <row r="10" customFormat="false" ht="45" hidden="false" customHeight="true" outlineLevel="0" collapsed="false">
      <c r="A10" s="3" t="s">
        <v>6</v>
      </c>
    </row>
    <row r="12" customFormat="false" ht="15" hidden="false" customHeight="false" outlineLevel="0" collapsed="false">
      <c r="A12" s="2" t="s">
        <v>7</v>
      </c>
    </row>
    <row r="13" customFormat="false" ht="45" hidden="false" customHeight="true" outlineLevel="0" collapsed="false">
      <c r="A13" s="3" t="s">
        <v>8</v>
      </c>
    </row>
    <row r="15" customFormat="false" ht="15" hidden="false" customHeight="false" outlineLevel="0" collapsed="false">
      <c r="A15" s="2" t="s">
        <v>9</v>
      </c>
    </row>
    <row r="16" customFormat="false" ht="60" hidden="false" customHeight="true" outlineLevel="0" collapsed="false">
      <c r="A16" s="3" t="s">
        <v>10</v>
      </c>
    </row>
    <row r="18" customFormat="false" ht="15" hidden="false" customHeight="false" outlineLevel="0" collapsed="false">
      <c r="A18" s="2" t="s">
        <v>11</v>
      </c>
    </row>
    <row r="19" customFormat="false" ht="60" hidden="false" customHeight="true" outlineLevel="0" collapsed="false">
      <c r="A19" s="3" t="s">
        <v>12</v>
      </c>
    </row>
    <row r="21" customFormat="false" ht="15" hidden="false" customHeight="false" outlineLevel="0" collapsed="false">
      <c r="A21" s="2" t="s">
        <v>13</v>
      </c>
    </row>
    <row r="22" customFormat="false" ht="45" hidden="false" customHeight="true" outlineLevel="0" collapsed="false">
      <c r="A22" s="3" t="s">
        <v>14</v>
      </c>
    </row>
    <row r="24" customFormat="false" ht="15" hidden="false" customHeight="false" outlineLevel="0" collapsed="false">
      <c r="A24" s="2" t="s">
        <v>15</v>
      </c>
    </row>
    <row r="25" customFormat="false" ht="45" hidden="false" customHeight="true" outlineLevel="0" collapsed="false">
      <c r="A25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8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4"/>
  </cols>
  <sheetData>
    <row r="1" customFormat="false" ht="45" hidden="false" customHeight="true" outlineLevel="0" collapsed="false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  <c r="M1" s="5" t="s">
        <v>29</v>
      </c>
    </row>
    <row r="2" customFormat="false" ht="15" hidden="false" customHeight="false" outlineLevel="0" collapsed="false">
      <c r="A2" s="6" t="s">
        <v>30</v>
      </c>
      <c r="B2" s="6" t="n">
        <v>1</v>
      </c>
      <c r="C2" s="6" t="s">
        <v>31</v>
      </c>
      <c r="D2" s="6" t="s">
        <v>32</v>
      </c>
      <c r="E2" s="7" t="n">
        <v>0</v>
      </c>
      <c r="F2" s="8" t="n">
        <v>8</v>
      </c>
      <c r="G2" s="8"/>
      <c r="H2" s="8"/>
      <c r="I2" s="7" t="s">
        <v>33</v>
      </c>
      <c r="J2" s="8"/>
      <c r="K2" s="9" t="str">
        <f aca="false">IF(G2="","",G2/F2)</f>
        <v/>
      </c>
      <c r="L2" s="10" t="str">
        <f aca="false">IF(J2="","",J2/F2)</f>
        <v/>
      </c>
      <c r="M2" s="11" t="n">
        <f aca="false">ABS(F2-MEDIAN($F$2:$F$27))</f>
        <v>0.5</v>
      </c>
    </row>
    <row r="3" customFormat="false" ht="15" hidden="false" customHeight="false" outlineLevel="0" collapsed="false">
      <c r="A3" s="6" t="s">
        <v>34</v>
      </c>
      <c r="B3" s="6" t="n">
        <v>1</v>
      </c>
      <c r="C3" s="6" t="s">
        <v>31</v>
      </c>
      <c r="D3" s="6" t="s">
        <v>32</v>
      </c>
      <c r="E3" s="7" t="n">
        <v>0</v>
      </c>
      <c r="F3" s="8" t="n">
        <v>7</v>
      </c>
      <c r="G3" s="8" t="n">
        <v>4.8</v>
      </c>
      <c r="H3" s="8" t="n">
        <v>2.2</v>
      </c>
      <c r="I3" s="7" t="s">
        <v>33</v>
      </c>
      <c r="J3" s="8"/>
      <c r="K3" s="9" t="n">
        <f aca="false">IF(G3="","",G3/F3)</f>
        <v>0.685714285714286</v>
      </c>
      <c r="L3" s="10" t="str">
        <f aca="false">IF(J3="","",J3/F3)</f>
        <v/>
      </c>
      <c r="M3" s="11" t="n">
        <f aca="false">ABS(F3-MEDIAN($F$2:$F$27))</f>
        <v>1.5</v>
      </c>
    </row>
    <row r="4" customFormat="false" ht="15" hidden="false" customHeight="false" outlineLevel="0" collapsed="false">
      <c r="A4" s="6" t="s">
        <v>35</v>
      </c>
      <c r="B4" s="6" t="n">
        <v>1</v>
      </c>
      <c r="C4" s="6" t="s">
        <v>31</v>
      </c>
      <c r="D4" s="6" t="s">
        <v>32</v>
      </c>
      <c r="E4" s="7" t="n">
        <v>0</v>
      </c>
      <c r="F4" s="8" t="n">
        <v>9</v>
      </c>
      <c r="G4" s="8" t="n">
        <v>7.12</v>
      </c>
      <c r="H4" s="8" t="n">
        <v>1.88</v>
      </c>
      <c r="I4" s="7" t="s">
        <v>33</v>
      </c>
      <c r="J4" s="8"/>
      <c r="K4" s="9" t="n">
        <f aca="false">IF(G4="","",G4/F4)</f>
        <v>0.791111111111111</v>
      </c>
      <c r="L4" s="10" t="str">
        <f aca="false">IF(J4="","",J4/F4)</f>
        <v/>
      </c>
      <c r="M4" s="11" t="n">
        <f aca="false">ABS(F4-MEDIAN($F$2:$F$27))</f>
        <v>0.5</v>
      </c>
    </row>
    <row r="5" customFormat="false" ht="15" hidden="false" customHeight="false" outlineLevel="0" collapsed="false">
      <c r="A5" s="6" t="s">
        <v>36</v>
      </c>
      <c r="B5" s="6" t="n">
        <v>1</v>
      </c>
      <c r="C5" s="6" t="s">
        <v>31</v>
      </c>
      <c r="D5" s="6" t="s">
        <v>32</v>
      </c>
      <c r="E5" s="7" t="n">
        <v>0</v>
      </c>
      <c r="F5" s="8" t="n">
        <v>5</v>
      </c>
      <c r="G5" s="8" t="n">
        <v>1.5</v>
      </c>
      <c r="H5" s="8" t="n">
        <v>3.5</v>
      </c>
      <c r="I5" s="7" t="s">
        <v>33</v>
      </c>
      <c r="J5" s="8"/>
      <c r="K5" s="9" t="n">
        <f aca="false">IF(G5="","",G5/F5)</f>
        <v>0.3</v>
      </c>
      <c r="L5" s="10" t="str">
        <f aca="false">IF(J5="","",J5/F5)</f>
        <v/>
      </c>
      <c r="M5" s="11" t="n">
        <f aca="false">ABS(F5-MEDIAN($F$2:$F$27))</f>
        <v>3.5</v>
      </c>
    </row>
    <row r="6" customFormat="false" ht="15" hidden="false" customHeight="false" outlineLevel="0" collapsed="false">
      <c r="A6" s="6" t="s">
        <v>37</v>
      </c>
      <c r="B6" s="6" t="n">
        <v>1</v>
      </c>
      <c r="C6" s="6" t="s">
        <v>31</v>
      </c>
      <c r="D6" s="6" t="s">
        <v>32</v>
      </c>
      <c r="E6" s="7" t="n">
        <v>0</v>
      </c>
      <c r="F6" s="8" t="n">
        <v>11</v>
      </c>
      <c r="G6" s="8" t="n">
        <v>6.2</v>
      </c>
      <c r="H6" s="8" t="n">
        <v>4.8</v>
      </c>
      <c r="I6" s="7" t="s">
        <v>33</v>
      </c>
      <c r="J6" s="8"/>
      <c r="K6" s="9" t="n">
        <f aca="false">IF(G6="","",G6/F6)</f>
        <v>0.563636363636364</v>
      </c>
      <c r="L6" s="10" t="str">
        <f aca="false">IF(J6="","",J6/F6)</f>
        <v/>
      </c>
      <c r="M6" s="11" t="n">
        <f aca="false">ABS(F6-MEDIAN($F$2:$F$27))</f>
        <v>2.5</v>
      </c>
    </row>
    <row r="7" customFormat="false" ht="15" hidden="false" customHeight="false" outlineLevel="0" collapsed="false">
      <c r="A7" s="6" t="s">
        <v>38</v>
      </c>
      <c r="B7" s="6" t="n">
        <v>1</v>
      </c>
      <c r="C7" s="6" t="s">
        <v>31</v>
      </c>
      <c r="D7" s="6" t="s">
        <v>32</v>
      </c>
      <c r="E7" s="7" t="n">
        <v>0</v>
      </c>
      <c r="F7" s="8" t="n">
        <v>12</v>
      </c>
      <c r="G7" s="8" t="n">
        <v>8.04</v>
      </c>
      <c r="H7" s="8" t="n">
        <v>3.96</v>
      </c>
      <c r="I7" s="7" t="s">
        <v>33</v>
      </c>
      <c r="J7" s="8"/>
      <c r="K7" s="9" t="n">
        <f aca="false">IF(G7="","",G7/F7)</f>
        <v>0.67</v>
      </c>
      <c r="L7" s="10" t="str">
        <f aca="false">IF(J7="","",J7/F7)</f>
        <v/>
      </c>
      <c r="M7" s="11" t="n">
        <f aca="false">ABS(F7-MEDIAN($F$2:$F$27))</f>
        <v>3.5</v>
      </c>
    </row>
    <row r="8" customFormat="false" ht="15" hidden="false" customHeight="false" outlineLevel="0" collapsed="false">
      <c r="A8" s="6" t="s">
        <v>39</v>
      </c>
      <c r="B8" s="6" t="n">
        <v>1</v>
      </c>
      <c r="C8" s="6" t="s">
        <v>31</v>
      </c>
      <c r="D8" s="6" t="s">
        <v>32</v>
      </c>
      <c r="E8" s="7" t="n">
        <v>0</v>
      </c>
      <c r="F8" s="8" t="n">
        <v>9</v>
      </c>
      <c r="G8" s="8" t="n">
        <v>2.7</v>
      </c>
      <c r="H8" s="8" t="n">
        <v>6.3</v>
      </c>
      <c r="I8" s="7" t="s">
        <v>33</v>
      </c>
      <c r="J8" s="8"/>
      <c r="K8" s="9" t="n">
        <f aca="false">IF(G8="","",G8/F8)</f>
        <v>0.3</v>
      </c>
      <c r="L8" s="10" t="str">
        <f aca="false">IF(J8="","",J8/F8)</f>
        <v/>
      </c>
      <c r="M8" s="11" t="n">
        <f aca="false">ABS(F8-MEDIAN($F$2:$F$27))</f>
        <v>0.5</v>
      </c>
    </row>
    <row r="9" customFormat="false" ht="15" hidden="false" customHeight="false" outlineLevel="0" collapsed="false">
      <c r="A9" s="12" t="s">
        <v>40</v>
      </c>
      <c r="B9" s="12" t="n">
        <v>1</v>
      </c>
      <c r="C9" s="12" t="s">
        <v>41</v>
      </c>
      <c r="D9" s="12" t="s">
        <v>42</v>
      </c>
      <c r="E9" s="13" t="n">
        <v>33.9</v>
      </c>
      <c r="F9" s="14" t="n">
        <v>4</v>
      </c>
      <c r="G9" s="14" t="n">
        <v>3.29</v>
      </c>
      <c r="H9" s="14" t="n">
        <v>0.71</v>
      </c>
      <c r="I9" s="13" t="s">
        <v>33</v>
      </c>
      <c r="J9" s="14"/>
      <c r="K9" s="15" t="n">
        <f aca="false">IF(G9="","",G9/F9)</f>
        <v>0.8225</v>
      </c>
      <c r="L9" s="16" t="str">
        <f aca="false">IF(J9="","",J9/F9)</f>
        <v/>
      </c>
      <c r="M9" s="11" t="n">
        <f aca="false">ABS(F9-MEDIAN($F$2:$F$27))</f>
        <v>4.5</v>
      </c>
    </row>
    <row r="10" customFormat="false" ht="15" hidden="false" customHeight="false" outlineLevel="0" collapsed="false">
      <c r="A10" s="12" t="s">
        <v>43</v>
      </c>
      <c r="B10" s="12" t="n">
        <v>1</v>
      </c>
      <c r="C10" s="12" t="s">
        <v>41</v>
      </c>
      <c r="D10" s="12" t="s">
        <v>44</v>
      </c>
      <c r="E10" s="13" t="n">
        <v>37.85</v>
      </c>
      <c r="F10" s="14" t="n">
        <v>10</v>
      </c>
      <c r="G10" s="14" t="n">
        <v>4.19</v>
      </c>
      <c r="H10" s="14" t="n">
        <v>5.81</v>
      </c>
      <c r="I10" s="13" t="s">
        <v>33</v>
      </c>
      <c r="J10" s="14"/>
      <c r="K10" s="15" t="n">
        <f aca="false">IF(G10="","",G10/F10)</f>
        <v>0.419</v>
      </c>
      <c r="L10" s="16" t="str">
        <f aca="false">IF(J10="","",J10/F10)</f>
        <v/>
      </c>
      <c r="M10" s="11" t="n">
        <f aca="false">ABS(F10-MEDIAN($F$2:$F$27))</f>
        <v>1.5</v>
      </c>
    </row>
    <row r="11" customFormat="false" ht="15" hidden="false" customHeight="false" outlineLevel="0" collapsed="false">
      <c r="A11" s="12" t="s">
        <v>45</v>
      </c>
      <c r="B11" s="12" t="n">
        <v>1</v>
      </c>
      <c r="C11" s="12" t="s">
        <v>41</v>
      </c>
      <c r="D11" s="12" t="s">
        <v>44</v>
      </c>
      <c r="E11" s="13" t="n">
        <v>50.5</v>
      </c>
      <c r="F11" s="14" t="n">
        <v>7</v>
      </c>
      <c r="G11" s="14" t="n">
        <v>3.83</v>
      </c>
      <c r="H11" s="14" t="n">
        <v>3.17</v>
      </c>
      <c r="I11" s="13" t="s">
        <v>33</v>
      </c>
      <c r="J11" s="14"/>
      <c r="K11" s="15" t="n">
        <f aca="false">IF(G11="","",G11/F11)</f>
        <v>0.547142857142857</v>
      </c>
      <c r="L11" s="16" t="str">
        <f aca="false">IF(J11="","",J11/F11)</f>
        <v/>
      </c>
      <c r="M11" s="11" t="n">
        <f aca="false">ABS(F11-MEDIAN($F$2:$F$27))</f>
        <v>1.5</v>
      </c>
    </row>
    <row r="12" customFormat="false" ht="15" hidden="false" customHeight="false" outlineLevel="0" collapsed="false">
      <c r="A12" s="12" t="s">
        <v>46</v>
      </c>
      <c r="B12" s="12" t="n">
        <v>1</v>
      </c>
      <c r="C12" s="12" t="s">
        <v>41</v>
      </c>
      <c r="D12" s="12" t="s">
        <v>44</v>
      </c>
      <c r="E12" s="13" t="n">
        <v>63.65</v>
      </c>
      <c r="F12" s="14" t="n">
        <v>14</v>
      </c>
      <c r="G12" s="14" t="n">
        <v>8.02</v>
      </c>
      <c r="H12" s="14" t="n">
        <v>5.98</v>
      </c>
      <c r="I12" s="13" t="s">
        <v>33</v>
      </c>
      <c r="J12" s="14"/>
      <c r="K12" s="15" t="n">
        <f aca="false">IF(G12="","",G12/F12)</f>
        <v>0.572857142857143</v>
      </c>
      <c r="L12" s="16" t="str">
        <f aca="false">IF(J12="","",J12/F12)</f>
        <v/>
      </c>
      <c r="M12" s="11" t="n">
        <f aca="false">ABS(F12-MEDIAN($F$2:$F$27))</f>
        <v>5.5</v>
      </c>
    </row>
    <row r="13" customFormat="false" ht="15" hidden="false" customHeight="false" outlineLevel="0" collapsed="false">
      <c r="A13" s="12" t="s">
        <v>47</v>
      </c>
      <c r="B13" s="12" t="n">
        <v>1</v>
      </c>
      <c r="C13" s="12" t="s">
        <v>41</v>
      </c>
      <c r="D13" s="12" t="s">
        <v>44</v>
      </c>
      <c r="E13" s="13" t="n">
        <v>64.9</v>
      </c>
      <c r="F13" s="14" t="n">
        <v>19</v>
      </c>
      <c r="G13" s="14" t="n">
        <v>13.52</v>
      </c>
      <c r="H13" s="14" t="n">
        <v>5.48</v>
      </c>
      <c r="I13" s="13" t="s">
        <v>33</v>
      </c>
      <c r="J13" s="14"/>
      <c r="K13" s="15" t="n">
        <f aca="false">IF(G13="","",G13/F13)</f>
        <v>0.711578947368421</v>
      </c>
      <c r="L13" s="16" t="str">
        <f aca="false">IF(J13="","",J13/F13)</f>
        <v/>
      </c>
      <c r="M13" s="11" t="n">
        <f aca="false">ABS(F13-MEDIAN($F$2:$F$27))</f>
        <v>10.5</v>
      </c>
    </row>
    <row r="14" customFormat="false" ht="15" hidden="false" customHeight="false" outlineLevel="0" collapsed="false">
      <c r="A14" s="12" t="s">
        <v>48</v>
      </c>
      <c r="B14" s="12" t="n">
        <v>1</v>
      </c>
      <c r="C14" s="12" t="s">
        <v>41</v>
      </c>
      <c r="D14" s="12" t="s">
        <v>44</v>
      </c>
      <c r="E14" s="13" t="n">
        <v>68.9</v>
      </c>
      <c r="F14" s="14" t="n">
        <v>6</v>
      </c>
      <c r="G14" s="14" t="n">
        <v>3.83</v>
      </c>
      <c r="H14" s="14" t="n">
        <v>2.17</v>
      </c>
      <c r="I14" s="13" t="s">
        <v>33</v>
      </c>
      <c r="J14" s="14"/>
      <c r="K14" s="15" t="n">
        <f aca="false">IF(G14="","",G14/F14)</f>
        <v>0.638333333333333</v>
      </c>
      <c r="L14" s="16" t="str">
        <f aca="false">IF(J14="","",J14/F14)</f>
        <v/>
      </c>
      <c r="M14" s="11" t="n">
        <f aca="false">ABS(F14-MEDIAN($F$2:$F$27))</f>
        <v>2.5</v>
      </c>
    </row>
    <row r="15" customFormat="false" ht="15" hidden="false" customHeight="false" outlineLevel="0" collapsed="false">
      <c r="A15" s="12" t="s">
        <v>49</v>
      </c>
      <c r="B15" s="12" t="n">
        <v>1</v>
      </c>
      <c r="C15" s="12" t="s">
        <v>41</v>
      </c>
      <c r="D15" s="12" t="s">
        <v>50</v>
      </c>
      <c r="E15" s="13" t="n">
        <v>34.9</v>
      </c>
      <c r="F15" s="14" t="n">
        <v>12</v>
      </c>
      <c r="G15" s="14" t="n">
        <v>9.78</v>
      </c>
      <c r="H15" s="14" t="n">
        <v>2.22</v>
      </c>
      <c r="I15" s="13" t="s">
        <v>33</v>
      </c>
      <c r="J15" s="14"/>
      <c r="K15" s="15" t="n">
        <f aca="false">IF(G15="","",G15/F15)</f>
        <v>0.815</v>
      </c>
      <c r="L15" s="16" t="str">
        <f aca="false">IF(J15="","",J15/F15)</f>
        <v/>
      </c>
      <c r="M15" s="11" t="n">
        <f aca="false">ABS(F15-MEDIAN($F$2:$F$27))</f>
        <v>3.5</v>
      </c>
    </row>
    <row r="16" customFormat="false" ht="15" hidden="false" customHeight="false" outlineLevel="0" collapsed="false">
      <c r="A16" s="12" t="s">
        <v>51</v>
      </c>
      <c r="B16" s="12" t="n">
        <v>1</v>
      </c>
      <c r="C16" s="12" t="s">
        <v>41</v>
      </c>
      <c r="D16" s="12" t="s">
        <v>50</v>
      </c>
      <c r="E16" s="13" t="n">
        <v>53.45</v>
      </c>
      <c r="F16" s="14" t="n">
        <v>8</v>
      </c>
      <c r="G16" s="14" t="n">
        <v>5.67</v>
      </c>
      <c r="H16" s="14" t="n">
        <v>2.33</v>
      </c>
      <c r="I16" s="13" t="s">
        <v>33</v>
      </c>
      <c r="J16" s="14"/>
      <c r="K16" s="15" t="n">
        <f aca="false">IF(G16="","",G16/F16)</f>
        <v>0.70875</v>
      </c>
      <c r="L16" s="16" t="str">
        <f aca="false">IF(J16="","",J16/F16)</f>
        <v/>
      </c>
      <c r="M16" s="11" t="n">
        <f aca="false">ABS(F16-MEDIAN($F$2:$F$27))</f>
        <v>0.5</v>
      </c>
    </row>
    <row r="17" customFormat="false" ht="15" hidden="false" customHeight="false" outlineLevel="0" collapsed="false">
      <c r="A17" s="12" t="s">
        <v>52</v>
      </c>
      <c r="B17" s="12" t="n">
        <v>1</v>
      </c>
      <c r="C17" s="12" t="s">
        <v>41</v>
      </c>
      <c r="D17" s="12" t="s">
        <v>50</v>
      </c>
      <c r="E17" s="13" t="n">
        <v>66.15</v>
      </c>
      <c r="F17" s="14" t="n">
        <v>5</v>
      </c>
      <c r="G17" s="14" t="n">
        <v>4.42</v>
      </c>
      <c r="H17" s="14" t="n">
        <v>0.58</v>
      </c>
      <c r="I17" s="13" t="s">
        <v>33</v>
      </c>
      <c r="J17" s="14"/>
      <c r="K17" s="15" t="n">
        <f aca="false">IF(G17="","",G17/F17)</f>
        <v>0.884</v>
      </c>
      <c r="L17" s="16" t="str">
        <f aca="false">IF(J17="","",J17/F17)</f>
        <v/>
      </c>
      <c r="M17" s="11" t="n">
        <f aca="false">ABS(F17-MEDIAN($F$2:$F$27))</f>
        <v>3.5</v>
      </c>
    </row>
    <row r="18" customFormat="false" ht="15" hidden="false" customHeight="false" outlineLevel="0" collapsed="false">
      <c r="A18" s="12" t="s">
        <v>53</v>
      </c>
      <c r="B18" s="12" t="n">
        <v>1</v>
      </c>
      <c r="C18" s="12" t="s">
        <v>41</v>
      </c>
      <c r="D18" s="12" t="s">
        <v>54</v>
      </c>
      <c r="E18" s="13" t="n">
        <v>18.9</v>
      </c>
      <c r="F18" s="14" t="n">
        <v>14</v>
      </c>
      <c r="G18" s="14" t="n">
        <v>12.93</v>
      </c>
      <c r="H18" s="14" t="n">
        <v>1.07</v>
      </c>
      <c r="I18" s="13" t="s">
        <v>33</v>
      </c>
      <c r="J18" s="14"/>
      <c r="K18" s="15" t="n">
        <f aca="false">IF(G18="","",G18/F18)</f>
        <v>0.923571428571429</v>
      </c>
      <c r="L18" s="16" t="str">
        <f aca="false">IF(J18="","",J18/F18)</f>
        <v/>
      </c>
      <c r="M18" s="11" t="n">
        <f aca="false">ABS(F18-MEDIAN($F$2:$F$27))</f>
        <v>5.5</v>
      </c>
    </row>
    <row r="19" customFormat="false" ht="15" hidden="false" customHeight="false" outlineLevel="0" collapsed="false">
      <c r="A19" s="12" t="s">
        <v>55</v>
      </c>
      <c r="B19" s="12" t="n">
        <v>1</v>
      </c>
      <c r="C19" s="12" t="s">
        <v>41</v>
      </c>
      <c r="D19" s="12" t="s">
        <v>56</v>
      </c>
      <c r="E19" s="13" t="n">
        <v>23.5</v>
      </c>
      <c r="F19" s="14" t="n">
        <v>8</v>
      </c>
      <c r="G19" s="14" t="n">
        <v>6.19</v>
      </c>
      <c r="H19" s="14" t="n">
        <v>1.81</v>
      </c>
      <c r="I19" s="13" t="s">
        <v>33</v>
      </c>
      <c r="J19" s="14"/>
      <c r="K19" s="15" t="n">
        <f aca="false">IF(G19="","",G19/F19)</f>
        <v>0.77375</v>
      </c>
      <c r="L19" s="16" t="str">
        <f aca="false">IF(J19="","",J19/F19)</f>
        <v/>
      </c>
      <c r="M19" s="11" t="n">
        <f aca="false">ABS(F19-MEDIAN($F$2:$F$27))</f>
        <v>0.5</v>
      </c>
    </row>
    <row r="20" customFormat="false" ht="15" hidden="false" customHeight="false" outlineLevel="0" collapsed="false">
      <c r="A20" s="12" t="s">
        <v>57</v>
      </c>
      <c r="B20" s="12" t="n">
        <v>1</v>
      </c>
      <c r="C20" s="12" t="s">
        <v>41</v>
      </c>
      <c r="D20" s="12" t="s">
        <v>56</v>
      </c>
      <c r="E20" s="13" t="n">
        <v>33.5</v>
      </c>
      <c r="F20" s="14" t="n">
        <v>5</v>
      </c>
      <c r="G20" s="14" t="n">
        <v>3.75</v>
      </c>
      <c r="H20" s="14" t="n">
        <v>1.25</v>
      </c>
      <c r="I20" s="13" t="s">
        <v>33</v>
      </c>
      <c r="J20" s="14"/>
      <c r="K20" s="15" t="n">
        <f aca="false">IF(G20="","",G20/F20)</f>
        <v>0.75</v>
      </c>
      <c r="L20" s="16" t="str">
        <f aca="false">IF(J20="","",J20/F20)</f>
        <v/>
      </c>
      <c r="M20" s="11" t="n">
        <f aca="false">ABS(F20-MEDIAN($F$2:$F$27))</f>
        <v>3.5</v>
      </c>
    </row>
    <row r="21" customFormat="false" ht="15" hidden="false" customHeight="false" outlineLevel="0" collapsed="false">
      <c r="A21" s="12" t="s">
        <v>58</v>
      </c>
      <c r="B21" s="12" t="n">
        <v>1</v>
      </c>
      <c r="C21" s="12" t="s">
        <v>41</v>
      </c>
      <c r="D21" s="12" t="s">
        <v>56</v>
      </c>
      <c r="E21" s="13" t="n">
        <v>48.25</v>
      </c>
      <c r="F21" s="14" t="n">
        <v>11</v>
      </c>
      <c r="G21" s="14" t="n">
        <v>6.05</v>
      </c>
      <c r="H21" s="14" t="n">
        <v>4.95</v>
      </c>
      <c r="I21" s="13" t="s">
        <v>33</v>
      </c>
      <c r="J21" s="14"/>
      <c r="K21" s="15" t="n">
        <f aca="false">IF(G21="","",G21/F21)</f>
        <v>0.55</v>
      </c>
      <c r="L21" s="16" t="str">
        <f aca="false">IF(J21="","",J21/F21)</f>
        <v/>
      </c>
      <c r="M21" s="11" t="n">
        <f aca="false">ABS(F21-MEDIAN($F$2:$F$27))</f>
        <v>2.5</v>
      </c>
    </row>
    <row r="22" customFormat="false" ht="15" hidden="false" customHeight="false" outlineLevel="0" collapsed="false">
      <c r="A22" s="12" t="s">
        <v>59</v>
      </c>
      <c r="B22" s="12" t="n">
        <v>1</v>
      </c>
      <c r="C22" s="12" t="s">
        <v>41</v>
      </c>
      <c r="D22" s="12" t="s">
        <v>56</v>
      </c>
      <c r="E22" s="13" t="n">
        <v>70.5</v>
      </c>
      <c r="F22" s="14" t="n">
        <v>9</v>
      </c>
      <c r="G22" s="14" t="n">
        <v>7.32</v>
      </c>
      <c r="H22" s="14" t="n">
        <v>1.68</v>
      </c>
      <c r="I22" s="13" t="s">
        <v>33</v>
      </c>
      <c r="J22" s="14"/>
      <c r="K22" s="15" t="n">
        <f aca="false">IF(G22="","",G22/F22)</f>
        <v>0.813333333333333</v>
      </c>
      <c r="L22" s="16" t="str">
        <f aca="false">IF(J22="","",J22/F22)</f>
        <v/>
      </c>
      <c r="M22" s="11" t="n">
        <f aca="false">ABS(F22-MEDIAN($F$2:$F$27))</f>
        <v>0.5</v>
      </c>
    </row>
    <row r="23" customFormat="false" ht="15" hidden="false" customHeight="false" outlineLevel="0" collapsed="false">
      <c r="A23" s="12" t="s">
        <v>60</v>
      </c>
      <c r="B23" s="12" t="n">
        <v>1</v>
      </c>
      <c r="C23" s="12" t="s">
        <v>41</v>
      </c>
      <c r="D23" s="12" t="s">
        <v>56</v>
      </c>
      <c r="E23" s="13" t="n">
        <v>76.7</v>
      </c>
      <c r="F23" s="14" t="n">
        <v>8</v>
      </c>
      <c r="G23" s="14" t="n">
        <v>4.76</v>
      </c>
      <c r="H23" s="14" t="n">
        <v>3.24</v>
      </c>
      <c r="I23" s="13" t="s">
        <v>33</v>
      </c>
      <c r="J23" s="14"/>
      <c r="K23" s="15" t="n">
        <f aca="false">IF(G23="","",G23/F23)</f>
        <v>0.595</v>
      </c>
      <c r="L23" s="16" t="str">
        <f aca="false">IF(J23="","",J23/F23)</f>
        <v/>
      </c>
      <c r="M23" s="11" t="n">
        <f aca="false">ABS(F23-MEDIAN($F$2:$F$27))</f>
        <v>0.5</v>
      </c>
    </row>
    <row r="24" customFormat="false" ht="15" hidden="false" customHeight="false" outlineLevel="0" collapsed="false">
      <c r="A24" s="12" t="s">
        <v>61</v>
      </c>
      <c r="B24" s="12" t="n">
        <v>1</v>
      </c>
      <c r="C24" s="12" t="s">
        <v>41</v>
      </c>
      <c r="D24" s="12" t="s">
        <v>56</v>
      </c>
      <c r="E24" s="13" t="n">
        <v>83.25</v>
      </c>
      <c r="F24" s="14" t="n">
        <v>5</v>
      </c>
      <c r="G24" s="14" t="n">
        <v>3.67</v>
      </c>
      <c r="H24" s="14" t="n">
        <v>1.33</v>
      </c>
      <c r="I24" s="13" t="s">
        <v>33</v>
      </c>
      <c r="J24" s="14"/>
      <c r="K24" s="15" t="n">
        <f aca="false">IF(G24="","",G24/F24)</f>
        <v>0.734</v>
      </c>
      <c r="L24" s="16" t="str">
        <f aca="false">IF(J24="","",J24/F24)</f>
        <v/>
      </c>
      <c r="M24" s="11" t="n">
        <f aca="false">ABS(F24-MEDIAN($F$2:$F$27))</f>
        <v>3.5</v>
      </c>
    </row>
    <row r="25" customFormat="false" ht="15" hidden="false" customHeight="false" outlineLevel="0" collapsed="false">
      <c r="A25" s="12" t="s">
        <v>62</v>
      </c>
      <c r="B25" s="12" t="n">
        <v>1</v>
      </c>
      <c r="C25" s="12" t="s">
        <v>41</v>
      </c>
      <c r="D25" s="12" t="s">
        <v>63</v>
      </c>
      <c r="E25" s="13" t="n">
        <v>79.15</v>
      </c>
      <c r="F25" s="14" t="n">
        <v>26</v>
      </c>
      <c r="G25" s="14" t="n">
        <v>17.93</v>
      </c>
      <c r="H25" s="14" t="n">
        <v>8.07</v>
      </c>
      <c r="I25" s="13" t="n">
        <v>150</v>
      </c>
      <c r="J25" s="14" t="n">
        <v>150</v>
      </c>
      <c r="K25" s="15" t="n">
        <f aca="false">IF(G25="","",G25/F25)</f>
        <v>0.689615384615385</v>
      </c>
      <c r="L25" s="16" t="n">
        <f aca="false">IF(J25="","",J25/F25)</f>
        <v>5.76923076923077</v>
      </c>
      <c r="M25" s="11" t="n">
        <f aca="false">ABS(F25-MEDIAN($F$2:$F$27))</f>
        <v>17.5</v>
      </c>
    </row>
    <row r="26" customFormat="false" ht="15" hidden="false" customHeight="false" outlineLevel="0" collapsed="false">
      <c r="A26" s="12" t="s">
        <v>64</v>
      </c>
      <c r="B26" s="12" t="n">
        <v>1</v>
      </c>
      <c r="C26" s="12" t="s">
        <v>41</v>
      </c>
      <c r="D26" s="12" t="s">
        <v>63</v>
      </c>
      <c r="E26" s="13" t="n">
        <v>82.7</v>
      </c>
      <c r="F26" s="14" t="n">
        <v>19</v>
      </c>
      <c r="G26" s="14" t="n">
        <v>18.3</v>
      </c>
      <c r="H26" s="14" t="n">
        <v>0.7</v>
      </c>
      <c r="I26" s="13" t="n">
        <v>140</v>
      </c>
      <c r="J26" s="14" t="n">
        <v>140</v>
      </c>
      <c r="K26" s="15" t="n">
        <f aca="false">IF(G26="","",G26/F26)</f>
        <v>0.963157894736842</v>
      </c>
      <c r="L26" s="16" t="n">
        <f aca="false">IF(J26="","",J26/F26)</f>
        <v>7.36842105263158</v>
      </c>
      <c r="M26" s="11" t="n">
        <f aca="false">ABS(F26-MEDIAN($F$2:$F$27))</f>
        <v>10.5</v>
      </c>
    </row>
    <row r="27" customFormat="false" ht="15" hidden="false" customHeight="false" outlineLevel="0" collapsed="false">
      <c r="A27" s="12" t="s">
        <v>65</v>
      </c>
      <c r="B27" s="12" t="n">
        <v>1</v>
      </c>
      <c r="C27" s="12" t="s">
        <v>41</v>
      </c>
      <c r="D27" s="12" t="s">
        <v>66</v>
      </c>
      <c r="E27" s="13" t="n">
        <v>22.7</v>
      </c>
      <c r="F27" s="14" t="n">
        <v>7</v>
      </c>
      <c r="G27" s="14" t="n">
        <v>3.64</v>
      </c>
      <c r="H27" s="14" t="n">
        <v>3.36</v>
      </c>
      <c r="I27" s="13" t="s">
        <v>33</v>
      </c>
      <c r="J27" s="14"/>
      <c r="K27" s="15" t="n">
        <f aca="false">IF(G27="","",G27/F27)</f>
        <v>0.52</v>
      </c>
      <c r="L27" s="16" t="str">
        <f aca="false">IF(J27="","",J27/F27)</f>
        <v/>
      </c>
      <c r="M27" s="11" t="n">
        <f aca="false">ABS(F27-MEDIAN($F$2:$F$27))</f>
        <v>1.5</v>
      </c>
    </row>
    <row r="28" customFormat="false" ht="15" hidden="false" customHeight="false" outlineLevel="0" collapsed="false">
      <c r="A28" s="17" t="s">
        <v>67</v>
      </c>
      <c r="B28" s="17" t="n">
        <v>2</v>
      </c>
      <c r="C28" s="17" t="s">
        <v>68</v>
      </c>
      <c r="D28" s="17" t="s">
        <v>42</v>
      </c>
      <c r="E28" s="18" t="n">
        <v>54.8</v>
      </c>
      <c r="F28" s="19" t="n">
        <v>56</v>
      </c>
      <c r="G28" s="19" t="n">
        <v>36.08</v>
      </c>
      <c r="H28" s="19" t="n">
        <v>19.92</v>
      </c>
      <c r="I28" s="18" t="n">
        <v>270</v>
      </c>
      <c r="J28" s="19" t="n">
        <v>270</v>
      </c>
      <c r="K28" s="20" t="n">
        <f aca="false">IF(G28="","",G28/F28)</f>
        <v>0.644285714285714</v>
      </c>
      <c r="L28" s="21" t="n">
        <f aca="false">IF(J28="","",J28/F28)</f>
        <v>4.82142857142857</v>
      </c>
    </row>
    <row r="29" customFormat="false" ht="15" hidden="false" customHeight="false" outlineLevel="0" collapsed="false">
      <c r="A29" s="17" t="s">
        <v>69</v>
      </c>
      <c r="B29" s="17" t="n">
        <v>2</v>
      </c>
      <c r="C29" s="17" t="s">
        <v>68</v>
      </c>
      <c r="D29" s="17" t="s">
        <v>44</v>
      </c>
      <c r="E29" s="18" t="n">
        <v>77.75</v>
      </c>
      <c r="F29" s="19" t="n">
        <v>48</v>
      </c>
      <c r="G29" s="19" t="n">
        <v>34.27</v>
      </c>
      <c r="H29" s="19" t="n">
        <v>13.73</v>
      </c>
      <c r="I29" s="18" t="n">
        <v>240</v>
      </c>
      <c r="J29" s="19" t="n">
        <v>240</v>
      </c>
      <c r="K29" s="20" t="n">
        <f aca="false">IF(G29="","",G29/F29)</f>
        <v>0.713958333333333</v>
      </c>
      <c r="L29" s="21" t="n">
        <f aca="false">IF(J29="","",J29/F29)</f>
        <v>5</v>
      </c>
    </row>
    <row r="30" customFormat="false" ht="15" hidden="false" customHeight="false" outlineLevel="0" collapsed="false">
      <c r="A30" s="17" t="s">
        <v>70</v>
      </c>
      <c r="B30" s="17" t="n">
        <v>2</v>
      </c>
      <c r="C30" s="17" t="s">
        <v>68</v>
      </c>
      <c r="D30" s="17" t="s">
        <v>71</v>
      </c>
      <c r="E30" s="18" t="n">
        <v>130.15</v>
      </c>
      <c r="F30" s="19" t="n">
        <v>30</v>
      </c>
      <c r="G30" s="19" t="n">
        <v>21.55</v>
      </c>
      <c r="H30" s="19" t="n">
        <v>8.45</v>
      </c>
      <c r="I30" s="18" t="n">
        <v>250</v>
      </c>
      <c r="J30" s="19" t="n">
        <v>250</v>
      </c>
      <c r="K30" s="20" t="n">
        <f aca="false">IF(G30="","",G30/F30)</f>
        <v>0.718333333333333</v>
      </c>
      <c r="L30" s="21" t="n">
        <f aca="false">IF(J30="","",J30/F30)</f>
        <v>8.33333333333333</v>
      </c>
    </row>
    <row r="31" customFormat="false" ht="15" hidden="false" customHeight="false" outlineLevel="0" collapsed="false">
      <c r="A31" s="17" t="s">
        <v>72</v>
      </c>
      <c r="B31" s="17" t="n">
        <v>2</v>
      </c>
      <c r="C31" s="17" t="s">
        <v>68</v>
      </c>
      <c r="D31" s="17" t="s">
        <v>73</v>
      </c>
      <c r="E31" s="18" t="n">
        <v>114.6</v>
      </c>
      <c r="F31" s="19" t="n">
        <v>21</v>
      </c>
      <c r="G31" s="19" t="n">
        <v>3.7</v>
      </c>
      <c r="H31" s="19" t="n">
        <v>17.3</v>
      </c>
      <c r="I31" s="18" t="n">
        <v>180</v>
      </c>
      <c r="J31" s="19" t="n">
        <v>180</v>
      </c>
      <c r="K31" s="20" t="n">
        <f aca="false">IF(G31="","",G31/F31)</f>
        <v>0.176190476190476</v>
      </c>
      <c r="L31" s="21" t="n">
        <f aca="false">IF(J31="","",J31/F31)</f>
        <v>8.57142857142857</v>
      </c>
    </row>
    <row r="32" customFormat="false" ht="15" hidden="false" customHeight="false" outlineLevel="0" collapsed="false">
      <c r="A32" s="17" t="s">
        <v>74</v>
      </c>
      <c r="B32" s="17" t="n">
        <v>2</v>
      </c>
      <c r="C32" s="17" t="s">
        <v>68</v>
      </c>
      <c r="D32" s="17" t="s">
        <v>50</v>
      </c>
      <c r="E32" s="18" t="n">
        <v>21.35</v>
      </c>
      <c r="F32" s="19" t="n">
        <v>18</v>
      </c>
      <c r="G32" s="19" t="n">
        <v>14.15</v>
      </c>
      <c r="H32" s="19" t="n">
        <v>3.85</v>
      </c>
      <c r="I32" s="18" t="n">
        <v>220</v>
      </c>
      <c r="J32" s="19" t="n">
        <v>220</v>
      </c>
      <c r="K32" s="20" t="n">
        <f aca="false">IF(G32="","",G32/F32)</f>
        <v>0.786111111111111</v>
      </c>
      <c r="L32" s="21" t="n">
        <f aca="false">IF(J32="","",J32/F32)</f>
        <v>12.2222222222222</v>
      </c>
    </row>
    <row r="33" customFormat="false" ht="15" hidden="false" customHeight="false" outlineLevel="0" collapsed="false">
      <c r="A33" s="17" t="s">
        <v>75</v>
      </c>
      <c r="B33" s="17" t="n">
        <v>2</v>
      </c>
      <c r="C33" s="17" t="s">
        <v>68</v>
      </c>
      <c r="D33" s="17" t="s">
        <v>50</v>
      </c>
      <c r="E33" s="18" t="n">
        <v>28.1</v>
      </c>
      <c r="F33" s="19" t="n">
        <v>49</v>
      </c>
      <c r="G33" s="19" t="n">
        <v>29.54</v>
      </c>
      <c r="H33" s="19" t="n">
        <v>19.46</v>
      </c>
      <c r="I33" s="18" t="n">
        <v>210</v>
      </c>
      <c r="J33" s="19" t="n">
        <v>210</v>
      </c>
      <c r="K33" s="20" t="n">
        <f aca="false">IF(G33="","",G33/F33)</f>
        <v>0.602857142857143</v>
      </c>
      <c r="L33" s="21" t="n">
        <f aca="false">IF(J33="","",J33/F33)</f>
        <v>4.28571428571429</v>
      </c>
    </row>
    <row r="34" customFormat="false" ht="15" hidden="false" customHeight="false" outlineLevel="0" collapsed="false">
      <c r="A34" s="17" t="s">
        <v>76</v>
      </c>
      <c r="B34" s="17" t="n">
        <v>2</v>
      </c>
      <c r="C34" s="17" t="s">
        <v>68</v>
      </c>
      <c r="D34" s="17" t="s">
        <v>50</v>
      </c>
      <c r="E34" s="18" t="n">
        <v>45.48</v>
      </c>
      <c r="F34" s="19" t="n">
        <v>24</v>
      </c>
      <c r="G34" s="19" t="n">
        <v>19.11</v>
      </c>
      <c r="H34" s="19" t="n">
        <v>4.89</v>
      </c>
      <c r="I34" s="18" t="n">
        <v>240</v>
      </c>
      <c r="J34" s="19" t="n">
        <v>240</v>
      </c>
      <c r="K34" s="20" t="n">
        <f aca="false">IF(G34="","",G34/F34)</f>
        <v>0.79625</v>
      </c>
      <c r="L34" s="21" t="n">
        <f aca="false">IF(J34="","",J34/F34)</f>
        <v>10</v>
      </c>
    </row>
    <row r="35" customFormat="false" ht="15" hidden="false" customHeight="false" outlineLevel="0" collapsed="false">
      <c r="A35" s="17" t="s">
        <v>77</v>
      </c>
      <c r="B35" s="17" t="n">
        <v>2</v>
      </c>
      <c r="C35" s="17" t="s">
        <v>68</v>
      </c>
      <c r="D35" s="17" t="s">
        <v>50</v>
      </c>
      <c r="E35" s="18" t="n">
        <v>60.5</v>
      </c>
      <c r="F35" s="19" t="n">
        <v>36</v>
      </c>
      <c r="G35" s="19" t="n">
        <v>29.14</v>
      </c>
      <c r="H35" s="19" t="n">
        <v>6.86</v>
      </c>
      <c r="I35" s="18" t="n">
        <v>220</v>
      </c>
      <c r="J35" s="19" t="n">
        <v>220</v>
      </c>
      <c r="K35" s="20" t="n">
        <f aca="false">IF(G35="","",G35/F35)</f>
        <v>0.809444444444444</v>
      </c>
      <c r="L35" s="21" t="n">
        <f aca="false">IF(J35="","",J35/F35)</f>
        <v>6.11111111111111</v>
      </c>
    </row>
    <row r="36" customFormat="false" ht="15" hidden="false" customHeight="false" outlineLevel="0" collapsed="false">
      <c r="A36" s="17" t="s">
        <v>78</v>
      </c>
      <c r="B36" s="17" t="n">
        <v>2</v>
      </c>
      <c r="C36" s="17" t="s">
        <v>68</v>
      </c>
      <c r="D36" s="17" t="s">
        <v>56</v>
      </c>
      <c r="E36" s="18" t="n">
        <v>141.9</v>
      </c>
      <c r="F36" s="19" t="n">
        <v>50</v>
      </c>
      <c r="G36" s="19" t="n">
        <v>27.84</v>
      </c>
      <c r="H36" s="19" t="n">
        <v>22.16</v>
      </c>
      <c r="I36" s="18" t="n">
        <v>310</v>
      </c>
      <c r="J36" s="19" t="n">
        <v>310</v>
      </c>
      <c r="K36" s="20" t="n">
        <f aca="false">IF(G36="","",G36/F36)</f>
        <v>0.5568</v>
      </c>
      <c r="L36" s="21" t="n">
        <f aca="false">IF(J36="","",J36/F36)</f>
        <v>6.2</v>
      </c>
    </row>
    <row r="37" customFormat="false" ht="15" hidden="false" customHeight="false" outlineLevel="0" collapsed="false">
      <c r="A37" s="17" t="s">
        <v>79</v>
      </c>
      <c r="B37" s="17" t="n">
        <v>2</v>
      </c>
      <c r="C37" s="17" t="s">
        <v>68</v>
      </c>
      <c r="D37" s="17" t="s">
        <v>63</v>
      </c>
      <c r="E37" s="18" t="n">
        <v>80.2</v>
      </c>
      <c r="F37" s="19" t="n">
        <v>21</v>
      </c>
      <c r="G37" s="19" t="n">
        <v>15.56</v>
      </c>
      <c r="H37" s="19" t="n">
        <v>5.44</v>
      </c>
      <c r="I37" s="18" t="n">
        <v>110</v>
      </c>
      <c r="J37" s="19" t="n">
        <v>110</v>
      </c>
      <c r="K37" s="20" t="n">
        <f aca="false">IF(G37="","",G37/F37)</f>
        <v>0.740952380952381</v>
      </c>
      <c r="L37" s="21" t="n">
        <f aca="false">IF(J37="","",J37/F37)</f>
        <v>5.23809523809524</v>
      </c>
    </row>
    <row r="38" customFormat="false" ht="15" hidden="false" customHeight="false" outlineLevel="0" collapsed="false">
      <c r="A38" s="17" t="s">
        <v>80</v>
      </c>
      <c r="B38" s="17" t="n">
        <v>2</v>
      </c>
      <c r="C38" s="17" t="s">
        <v>68</v>
      </c>
      <c r="D38" s="17" t="s">
        <v>63</v>
      </c>
      <c r="E38" s="18" t="n">
        <v>109.8</v>
      </c>
      <c r="F38" s="19" t="n">
        <v>23</v>
      </c>
      <c r="G38" s="19"/>
      <c r="H38" s="19"/>
      <c r="I38" s="18" t="n">
        <v>120</v>
      </c>
      <c r="J38" s="19" t="n">
        <v>120</v>
      </c>
      <c r="K38" s="20" t="str">
        <f aca="false">IF(G38="","",G38/F38)</f>
        <v/>
      </c>
      <c r="L38" s="21" t="n">
        <f aca="false">IF(J38="","",J38/F38)</f>
        <v>5.21739130434783</v>
      </c>
    </row>
    <row r="39" customFormat="false" ht="15" hidden="false" customHeight="false" outlineLevel="0" collapsed="false">
      <c r="A39" s="17" t="s">
        <v>81</v>
      </c>
      <c r="B39" s="17" t="n">
        <v>2</v>
      </c>
      <c r="C39" s="17" t="s">
        <v>68</v>
      </c>
      <c r="D39" s="17" t="s">
        <v>50</v>
      </c>
      <c r="E39" s="18" t="n">
        <v>16.2</v>
      </c>
      <c r="F39" s="19" t="n">
        <v>2310</v>
      </c>
      <c r="G39" s="19" t="n">
        <v>2306.28</v>
      </c>
      <c r="H39" s="19" t="n">
        <v>3.72</v>
      </c>
      <c r="I39" s="18" t="n">
        <v>230</v>
      </c>
      <c r="J39" s="19" t="n">
        <v>230</v>
      </c>
      <c r="K39" s="20" t="n">
        <f aca="false">IF(G39="","",G39/F39)</f>
        <v>0.998389610389611</v>
      </c>
      <c r="L39" s="21" t="n">
        <f aca="false">IF(J39="","",J39/F39)</f>
        <v>0.0995670995670996</v>
      </c>
    </row>
    <row r="41" customFormat="false" ht="15" hidden="false" customHeight="false" outlineLevel="0" collapsed="false">
      <c r="A41" s="22" t="s">
        <v>82</v>
      </c>
    </row>
    <row r="42" customFormat="false" ht="15" hidden="false" customHeight="false" outlineLevel="0" collapsed="false">
      <c r="A42" s="22" t="s">
        <v>83</v>
      </c>
    </row>
    <row r="43" customFormat="false" ht="15" hidden="false" customHeight="false" outlineLevel="0" collapsed="false">
      <c r="A43" s="22" t="s">
        <v>84</v>
      </c>
    </row>
    <row r="44" customFormat="false" ht="15" hidden="false" customHeight="false" outlineLevel="0" collapsed="false">
      <c r="A44" s="22" t="s">
        <v>85</v>
      </c>
    </row>
    <row r="45" customFormat="false" ht="15" hidden="false" customHeight="false" outlineLevel="0" collapsed="false">
      <c r="A45" s="22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87</v>
      </c>
    </row>
    <row r="3" customFormat="false" ht="42" hidden="false" customHeight="true" outlineLevel="0" collapsed="false">
      <c r="A3" s="23" t="s">
        <v>88</v>
      </c>
      <c r="B3" s="5" t="s">
        <v>89</v>
      </c>
      <c r="C3" s="5" t="s">
        <v>90</v>
      </c>
      <c r="D3" s="5" t="s">
        <v>91</v>
      </c>
      <c r="E3" s="5" t="s">
        <v>92</v>
      </c>
      <c r="F3" s="5" t="s">
        <v>93</v>
      </c>
      <c r="G3" s="5" t="s">
        <v>94</v>
      </c>
    </row>
    <row r="4" customFormat="false" ht="15" hidden="false" customHeight="false" outlineLevel="0" collapsed="false">
      <c r="A4" s="24" t="s">
        <v>95</v>
      </c>
      <c r="B4" s="25" t="n">
        <f aca="false">COUNT(Dados!F2:F8)</f>
        <v>7</v>
      </c>
      <c r="C4" s="25" t="n">
        <f aca="false">COUNT(Dados!F9:F27)</f>
        <v>19</v>
      </c>
      <c r="D4" s="25" t="n">
        <f aca="false">COUNT(Dados!F28:F39)</f>
        <v>12</v>
      </c>
      <c r="E4" s="25" t="n">
        <f aca="false">COUNT(Dados!F28:F38)</f>
        <v>11</v>
      </c>
      <c r="F4" s="25" t="n">
        <f aca="false">COUNT(Dados!F9:F39)</f>
        <v>31</v>
      </c>
      <c r="G4" s="25" t="n">
        <f aca="false">COUNT(Dados!F2:F27)</f>
        <v>26</v>
      </c>
    </row>
    <row r="5" customFormat="false" ht="15" hidden="false" customHeight="false" outlineLevel="0" collapsed="false">
      <c r="A5" s="24" t="s">
        <v>96</v>
      </c>
      <c r="B5" s="26" t="n">
        <f aca="false">AVERAGE(Dados!F2:F8)</f>
        <v>8.71428571428571</v>
      </c>
      <c r="C5" s="26" t="n">
        <f aca="false">AVERAGE(Dados!F9:F27)</f>
        <v>10.3684210526316</v>
      </c>
      <c r="D5" s="26" t="n">
        <f aca="false">AVERAGE(Dados!F28:F39)</f>
        <v>223.833333333333</v>
      </c>
      <c r="E5" s="26" t="n">
        <f aca="false">AVERAGE(Dados!F28:F38)</f>
        <v>34.1818181818182</v>
      </c>
      <c r="F5" s="26" t="n">
        <f aca="false">AVERAGE(Dados!F9:F39)</f>
        <v>93</v>
      </c>
      <c r="G5" s="26" t="n">
        <f aca="false">AVERAGE(Dados!F2:F27)</f>
        <v>9.92307692307692</v>
      </c>
    </row>
    <row r="6" customFormat="false" ht="15" hidden="false" customHeight="false" outlineLevel="0" collapsed="false">
      <c r="A6" s="24" t="s">
        <v>97</v>
      </c>
      <c r="B6" s="26" t="n">
        <f aca="false">MEDIAN(Dados!F2:F8)</f>
        <v>9</v>
      </c>
      <c r="C6" s="26" t="n">
        <f aca="false">MEDIAN(Dados!F9:F27)</f>
        <v>8</v>
      </c>
      <c r="D6" s="26" t="n">
        <f aca="false">MEDIAN(Dados!F28:F39)</f>
        <v>33</v>
      </c>
      <c r="E6" s="26" t="n">
        <f aca="false">MEDIAN(Dados!F28:F38)</f>
        <v>30</v>
      </c>
      <c r="F6" s="26" t="n">
        <f aca="false">MEDIAN(Dados!F9:F39)</f>
        <v>14</v>
      </c>
      <c r="G6" s="26" t="n">
        <f aca="false">MEDIAN(Dados!F2:F27)</f>
        <v>8.5</v>
      </c>
    </row>
    <row r="7" customFormat="false" ht="15" hidden="false" customHeight="false" outlineLevel="0" collapsed="false">
      <c r="A7" s="24" t="s">
        <v>98</v>
      </c>
      <c r="B7" s="26" t="n">
        <f aca="false">GEOMEAN(Dados!F2:F8)</f>
        <v>8.4173203196256</v>
      </c>
      <c r="C7" s="26" t="n">
        <f aca="false">GEOMEAN(Dados!F9:F27)</f>
        <v>9.09377551816961</v>
      </c>
      <c r="D7" s="26" t="n">
        <f aca="false">GEOMEAN(Dados!F28:F39)</f>
        <v>45.1620282453421</v>
      </c>
      <c r="E7" s="26" t="n">
        <f aca="false">GEOMEAN(Dados!F28:F38)</f>
        <v>31.5808983426757</v>
      </c>
      <c r="F7" s="26" t="n">
        <f aca="false">GEOMEAN(Dados!F9:F39)</f>
        <v>16.9112181079981</v>
      </c>
      <c r="G7" s="26" t="n">
        <f aca="false">GEOMEAN(Dados!F2:F27)</f>
        <v>8.90647906674177</v>
      </c>
    </row>
    <row r="8" customFormat="false" ht="15" hidden="false" customHeight="false" outlineLevel="0" collapsed="false">
      <c r="A8" s="24" t="s">
        <v>99</v>
      </c>
      <c r="B8" s="26" t="n">
        <f aca="false">STDEV(Dados!F2:F8)</f>
        <v>2.36038737740833</v>
      </c>
      <c r="C8" s="26" t="n">
        <f aca="false">STDEV(Dados!F9:F27)</f>
        <v>5.82342516924141</v>
      </c>
      <c r="D8" s="26" t="n">
        <f aca="false">STDEV(Dados!F28:F39)</f>
        <v>657.11017940585</v>
      </c>
      <c r="E8" s="26" t="n">
        <f aca="false">STDEV(Dados!F28:F38)</f>
        <v>14.1266994150664</v>
      </c>
      <c r="F8" s="26" t="n">
        <f aca="false">STDEV(Dados!F9:F39)</f>
        <v>411.723288953475</v>
      </c>
      <c r="G8" s="26" t="n">
        <f aca="false">STDEV(Dados!F2:F27)</f>
        <v>5.12970234554074</v>
      </c>
    </row>
    <row r="9" customFormat="false" ht="15" hidden="false" customHeight="false" outlineLevel="0" collapsed="false">
      <c r="A9" s="24" t="s">
        <v>100</v>
      </c>
      <c r="B9" s="27" t="n">
        <f aca="false">STDEV(Dados!F2:F8)/AVERAGE(Dados!F2:F8)</f>
        <v>0.270864125276366</v>
      </c>
      <c r="C9" s="27" t="n">
        <f aca="false">STDEV(Dados!F9:F27)/AVERAGE(Dados!F9:F27)</f>
        <v>0.561650143226329</v>
      </c>
      <c r="D9" s="27" t="n">
        <f aca="false">STDEV(Dados!F28:F39)/AVERAGE(Dados!F28:F39)</f>
        <v>2.93571189607975</v>
      </c>
      <c r="E9" s="27" t="n">
        <f aca="false">STDEV(Dados!F28:F38)/AVERAGE(Dados!F28:F38)</f>
        <v>0.413281099908856</v>
      </c>
      <c r="F9" s="27" t="n">
        <f aca="false">STDEV(Dados!F9:F39)/AVERAGE(Dados!F9:F39)</f>
        <v>4.42713213928468</v>
      </c>
      <c r="G9" s="27" t="n">
        <f aca="false">STDEV(Dados!F2:F27)/AVERAGE(Dados!F2:F27)</f>
        <v>0.516946748000229</v>
      </c>
    </row>
    <row r="10" customFormat="false" ht="15" hidden="false" customHeight="false" outlineLevel="0" collapsed="false">
      <c r="A10" s="24" t="s">
        <v>101</v>
      </c>
      <c r="B10" s="26" t="n">
        <f aca="false">MIN(Dados!F2:F8)</f>
        <v>5</v>
      </c>
      <c r="C10" s="26" t="n">
        <f aca="false">MIN(Dados!F9:F27)</f>
        <v>4</v>
      </c>
      <c r="D10" s="26" t="n">
        <f aca="false">MIN(Dados!F28:F39)</f>
        <v>18</v>
      </c>
      <c r="E10" s="26" t="n">
        <f aca="false">MIN(Dados!F28:F38)</f>
        <v>18</v>
      </c>
      <c r="F10" s="26" t="n">
        <f aca="false">MIN(Dados!F9:F39)</f>
        <v>4</v>
      </c>
      <c r="G10" s="26" t="n">
        <f aca="false">MIN(Dados!F2:F27)</f>
        <v>4</v>
      </c>
    </row>
    <row r="11" customFormat="false" ht="15" hidden="false" customHeight="false" outlineLevel="0" collapsed="false">
      <c r="A11" s="24" t="s">
        <v>102</v>
      </c>
      <c r="B11" s="26" t="n">
        <f aca="false">QUARTILE(Dados!F2:F8,1)</f>
        <v>7.5</v>
      </c>
      <c r="C11" s="26" t="n">
        <f aca="false">QUARTILE(Dados!F9:F27,1)</f>
        <v>6.5</v>
      </c>
      <c r="D11" s="26" t="n">
        <f aca="false">QUARTILE(Dados!F28:F39,1)</f>
        <v>22.5</v>
      </c>
      <c r="E11" s="26" t="n">
        <f aca="false">QUARTILE(Dados!F28:F38,1)</f>
        <v>22</v>
      </c>
      <c r="F11" s="26" t="n">
        <f aca="false">QUARTILE(Dados!F9:F39,1)</f>
        <v>8</v>
      </c>
      <c r="G11" s="26" t="n">
        <f aca="false">QUARTILE(Dados!F2:F27,1)</f>
        <v>7</v>
      </c>
    </row>
    <row r="12" customFormat="false" ht="15" hidden="false" customHeight="false" outlineLevel="0" collapsed="false">
      <c r="A12" s="24" t="s">
        <v>103</v>
      </c>
      <c r="B12" s="26" t="n">
        <f aca="false">QUARTILE(Dados!F2:F8,3)</f>
        <v>10</v>
      </c>
      <c r="C12" s="26" t="n">
        <f aca="false">QUARTILE(Dados!F9:F27,3)</f>
        <v>13</v>
      </c>
      <c r="D12" s="26" t="n">
        <f aca="false">QUARTILE(Dados!F28:F39,3)</f>
        <v>49.25</v>
      </c>
      <c r="E12" s="26" t="n">
        <f aca="false">QUARTILE(Dados!F28:F38,3)</f>
        <v>48.5</v>
      </c>
      <c r="F12" s="26" t="n">
        <f aca="false">QUARTILE(Dados!F9:F39,3)</f>
        <v>25</v>
      </c>
      <c r="G12" s="26" t="n">
        <f aca="false">QUARTILE(Dados!F2:F27,3)</f>
        <v>11.75</v>
      </c>
    </row>
    <row r="13" customFormat="false" ht="15" hidden="false" customHeight="false" outlineLevel="0" collapsed="false">
      <c r="A13" s="24" t="s">
        <v>104</v>
      </c>
      <c r="B13" s="26" t="n">
        <f aca="false">MAX(Dados!F2:F8)</f>
        <v>12</v>
      </c>
      <c r="C13" s="26" t="n">
        <f aca="false">MAX(Dados!F9:F27)</f>
        <v>26</v>
      </c>
      <c r="D13" s="26" t="n">
        <f aca="false">MAX(Dados!F28:F39)</f>
        <v>2310</v>
      </c>
      <c r="E13" s="26" t="n">
        <f aca="false">MAX(Dados!F28:F38)</f>
        <v>56</v>
      </c>
      <c r="F13" s="26" t="n">
        <f aca="false">MAX(Dados!F9:F39)</f>
        <v>2310</v>
      </c>
      <c r="G13" s="26" t="n">
        <f aca="false">MAX(Dados!F2:F27)</f>
        <v>26</v>
      </c>
    </row>
    <row r="15" customFormat="false" ht="42" hidden="false" customHeight="true" outlineLevel="0" collapsed="false">
      <c r="A15" s="23" t="s">
        <v>105</v>
      </c>
      <c r="B15" s="5" t="s">
        <v>89</v>
      </c>
      <c r="C15" s="5" t="s">
        <v>90</v>
      </c>
      <c r="D15" s="5" t="s">
        <v>91</v>
      </c>
      <c r="E15" s="5" t="s">
        <v>92</v>
      </c>
      <c r="F15" s="5" t="s">
        <v>93</v>
      </c>
      <c r="G15" s="5" t="s">
        <v>94</v>
      </c>
    </row>
    <row r="16" customFormat="false" ht="15" hidden="false" customHeight="false" outlineLevel="0" collapsed="false">
      <c r="A16" s="24" t="s">
        <v>95</v>
      </c>
      <c r="B16" s="25" t="n">
        <f aca="false">COUNT(Dados!G2:G8)</f>
        <v>6</v>
      </c>
      <c r="C16" s="25" t="n">
        <f aca="false">COUNT(Dados!G9:G27)</f>
        <v>19</v>
      </c>
      <c r="D16" s="25" t="n">
        <f aca="false">COUNT(Dados!G28:G39)</f>
        <v>11</v>
      </c>
      <c r="E16" s="25" t="n">
        <f aca="false">COUNT(Dados!G28:G38)</f>
        <v>10</v>
      </c>
      <c r="F16" s="25" t="n">
        <f aca="false">COUNT(Dados!G9:G39)</f>
        <v>30</v>
      </c>
      <c r="G16" s="25" t="n">
        <f aca="false">COUNT(Dados!G2:G27)</f>
        <v>25</v>
      </c>
    </row>
    <row r="17" customFormat="false" ht="15" hidden="false" customHeight="false" outlineLevel="0" collapsed="false">
      <c r="A17" s="24" t="s">
        <v>96</v>
      </c>
      <c r="B17" s="26" t="n">
        <f aca="false">AVERAGE(Dados!G2:G8)</f>
        <v>5.06</v>
      </c>
      <c r="C17" s="26" t="n">
        <f aca="false">AVERAGE(Dados!G9:G27)</f>
        <v>7.42578947368421</v>
      </c>
      <c r="D17" s="26" t="n">
        <f aca="false">AVERAGE(Dados!G28:G39)</f>
        <v>230.656363636364</v>
      </c>
      <c r="E17" s="26" t="n">
        <f aca="false">AVERAGE(Dados!G28:G38)</f>
        <v>23.094</v>
      </c>
      <c r="F17" s="26" t="n">
        <f aca="false">AVERAGE(Dados!G9:G39)</f>
        <v>89.277</v>
      </c>
      <c r="G17" s="26" t="n">
        <f aca="false">AVERAGE(Dados!G2:G27)</f>
        <v>6.858</v>
      </c>
    </row>
    <row r="18" customFormat="false" ht="15" hidden="false" customHeight="false" outlineLevel="0" collapsed="false">
      <c r="A18" s="24" t="s">
        <v>97</v>
      </c>
      <c r="B18" s="26" t="n">
        <f aca="false">MEDIAN(Dados!G2:G8)</f>
        <v>5.5</v>
      </c>
      <c r="C18" s="26" t="n">
        <f aca="false">MEDIAN(Dados!G9:G27)</f>
        <v>5.67</v>
      </c>
      <c r="D18" s="26" t="n">
        <f aca="false">MEDIAN(Dados!G28:G39)</f>
        <v>27.84</v>
      </c>
      <c r="E18" s="26" t="n">
        <f aca="false">MEDIAN(Dados!G28:G38)</f>
        <v>24.695</v>
      </c>
      <c r="F18" s="26" t="n">
        <f aca="false">MEDIAN(Dados!G9:G39)</f>
        <v>8.9</v>
      </c>
      <c r="G18" s="26" t="n">
        <f aca="false">MEDIAN(Dados!G2:G27)</f>
        <v>5.67</v>
      </c>
    </row>
    <row r="19" customFormat="false" ht="15" hidden="false" customHeight="false" outlineLevel="0" collapsed="false">
      <c r="A19" s="24" t="s">
        <v>98</v>
      </c>
      <c r="B19" s="26" t="n">
        <f aca="false">GEOMEAN(Dados!G2:G8)</f>
        <v>4.36318872917301</v>
      </c>
      <c r="C19" s="26" t="n">
        <f aca="false">GEOMEAN(Dados!G9:G27)</f>
        <v>6.28918679888422</v>
      </c>
      <c r="D19" s="26" t="n">
        <f aca="false">GEOMEAN(Dados!G28:G39)</f>
        <v>30.7116693252851</v>
      </c>
      <c r="E19" s="26" t="n">
        <f aca="false">GEOMEAN(Dados!G28:G38)</f>
        <v>19.940799283745</v>
      </c>
      <c r="F19" s="26" t="n">
        <f aca="false">GEOMEAN(Dados!G9:G39)</f>
        <v>11.2491860965922</v>
      </c>
      <c r="G19" s="26" t="n">
        <f aca="false">GEOMEAN(Dados!G2:G27)</f>
        <v>5.76082622904023</v>
      </c>
    </row>
    <row r="20" customFormat="false" ht="15" hidden="false" customHeight="false" outlineLevel="0" collapsed="false">
      <c r="A20" s="24" t="s">
        <v>99</v>
      </c>
      <c r="B20" s="26" t="n">
        <f aca="false">STDEV(Dados!G2:G8)</f>
        <v>2.55868716337109</v>
      </c>
      <c r="C20" s="26" t="n">
        <f aca="false">STDEV(Dados!G9:G27)</f>
        <v>4.83021314895393</v>
      </c>
      <c r="D20" s="26" t="n">
        <f aca="false">STDEV(Dados!G28:G39)</f>
        <v>688.47368404715</v>
      </c>
      <c r="E20" s="26" t="n">
        <f aca="false">STDEV(Dados!G28:G38)</f>
        <v>10.1396276504065</v>
      </c>
      <c r="F20" s="26" t="n">
        <f aca="false">STDEV(Dados!G9:G39)</f>
        <v>418.846620566115</v>
      </c>
      <c r="G20" s="26" t="n">
        <f aca="false">STDEV(Dados!G2:G27)</f>
        <v>4.46380723150093</v>
      </c>
    </row>
    <row r="21" customFormat="false" ht="15" hidden="false" customHeight="false" outlineLevel="0" collapsed="false">
      <c r="A21" s="24" t="s">
        <v>100</v>
      </c>
      <c r="B21" s="27" t="n">
        <f aca="false">STDEV(Dados!G2:G8)/AVERAGE(Dados!G2:G8)</f>
        <v>0.50566939987571</v>
      </c>
      <c r="C21" s="27" t="n">
        <f aca="false">STDEV(Dados!G9:G27)/AVERAGE(Dados!G9:G27)</f>
        <v>0.650464595861682</v>
      </c>
      <c r="D21" s="27" t="n">
        <f aca="false">STDEV(Dados!G28:G39)/AVERAGE(Dados!G28:G39)</f>
        <v>2.98484582516244</v>
      </c>
      <c r="E21" s="27" t="n">
        <f aca="false">STDEV(Dados!G28:G38)/AVERAGE(Dados!G28:G38)</f>
        <v>0.439058961219648</v>
      </c>
      <c r="F21" s="27" t="n">
        <f aca="false">STDEV(Dados!G9:G39)/AVERAGE(Dados!G9:G39)</f>
        <v>4.69154004464885</v>
      </c>
      <c r="G21" s="27" t="n">
        <f aca="false">STDEV(Dados!G2:G27)/AVERAGE(Dados!G2:G27)</f>
        <v>0.650890526611393</v>
      </c>
    </row>
    <row r="22" customFormat="false" ht="15" hidden="false" customHeight="false" outlineLevel="0" collapsed="false">
      <c r="A22" s="24" t="s">
        <v>101</v>
      </c>
      <c r="B22" s="26" t="n">
        <f aca="false">MIN(Dados!G2:G8)</f>
        <v>1.5</v>
      </c>
      <c r="C22" s="26" t="n">
        <f aca="false">MIN(Dados!G9:G27)</f>
        <v>3.29</v>
      </c>
      <c r="D22" s="26" t="n">
        <f aca="false">MIN(Dados!G28:G39)</f>
        <v>3.7</v>
      </c>
      <c r="E22" s="26" t="n">
        <f aca="false">MIN(Dados!G28:G38)</f>
        <v>3.7</v>
      </c>
      <c r="F22" s="26" t="n">
        <f aca="false">MIN(Dados!G9:G39)</f>
        <v>3.29</v>
      </c>
      <c r="G22" s="26" t="n">
        <f aca="false">MIN(Dados!G2:G27)</f>
        <v>1.5</v>
      </c>
    </row>
    <row r="23" customFormat="false" ht="15" hidden="false" customHeight="false" outlineLevel="0" collapsed="false">
      <c r="A23" s="24" t="s">
        <v>102</v>
      </c>
      <c r="B23" s="26" t="n">
        <f aca="false">QUARTILE(Dados!G2:G8,1)</f>
        <v>3.225</v>
      </c>
      <c r="C23" s="26" t="n">
        <f aca="false">QUARTILE(Dados!G9:G27,1)</f>
        <v>3.83</v>
      </c>
      <c r="D23" s="26" t="n">
        <f aca="false">QUARTILE(Dados!G28:G39,1)</f>
        <v>17.335</v>
      </c>
      <c r="E23" s="26" t="n">
        <f aca="false">QUARTILE(Dados!G28:G38,1)</f>
        <v>16.4475</v>
      </c>
      <c r="F23" s="26" t="n">
        <f aca="false">QUARTILE(Dados!G9:G39,1)</f>
        <v>4.2475</v>
      </c>
      <c r="G23" s="26" t="n">
        <f aca="false">QUARTILE(Dados!G2:G27,1)</f>
        <v>3.83</v>
      </c>
    </row>
    <row r="24" customFormat="false" ht="15" hidden="false" customHeight="false" outlineLevel="0" collapsed="false">
      <c r="A24" s="24" t="s">
        <v>103</v>
      </c>
      <c r="B24" s="26" t="n">
        <f aca="false">QUARTILE(Dados!G2:G8,3)</f>
        <v>6.89</v>
      </c>
      <c r="C24" s="26" t="n">
        <f aca="false">QUARTILE(Dados!G9:G27,3)</f>
        <v>8.9</v>
      </c>
      <c r="D24" s="26" t="n">
        <f aca="false">QUARTILE(Dados!G28:G39,3)</f>
        <v>31.905</v>
      </c>
      <c r="E24" s="26" t="n">
        <f aca="false">QUARTILE(Dados!G28:G38,3)</f>
        <v>29.44</v>
      </c>
      <c r="F24" s="26" t="n">
        <f aca="false">QUARTILE(Dados!G9:G39,3)</f>
        <v>18.9075</v>
      </c>
      <c r="G24" s="26" t="n">
        <f aca="false">QUARTILE(Dados!G2:G27,3)</f>
        <v>8.02</v>
      </c>
    </row>
    <row r="25" customFormat="false" ht="15" hidden="false" customHeight="false" outlineLevel="0" collapsed="false">
      <c r="A25" s="24" t="s">
        <v>104</v>
      </c>
      <c r="B25" s="26" t="n">
        <f aca="false">MAX(Dados!G2:G8)</f>
        <v>8.04</v>
      </c>
      <c r="C25" s="26" t="n">
        <f aca="false">MAX(Dados!G9:G27)</f>
        <v>18.3</v>
      </c>
      <c r="D25" s="26" t="n">
        <f aca="false">MAX(Dados!G28:G39)</f>
        <v>2306.28</v>
      </c>
      <c r="E25" s="26" t="n">
        <f aca="false">MAX(Dados!G28:G38)</f>
        <v>36.08</v>
      </c>
      <c r="F25" s="26" t="n">
        <f aca="false">MAX(Dados!G9:G39)</f>
        <v>2306.28</v>
      </c>
      <c r="G25" s="26" t="n">
        <f aca="false">MAX(Dados!G2:G27)</f>
        <v>18.3</v>
      </c>
    </row>
    <row r="27" customFormat="false" ht="42" hidden="false" customHeight="true" outlineLevel="0" collapsed="false">
      <c r="A27" s="23" t="s">
        <v>106</v>
      </c>
      <c r="B27" s="5" t="s">
        <v>89</v>
      </c>
      <c r="C27" s="5" t="s">
        <v>90</v>
      </c>
      <c r="D27" s="5" t="s">
        <v>91</v>
      </c>
      <c r="E27" s="5" t="s">
        <v>92</v>
      </c>
      <c r="F27" s="5" t="s">
        <v>93</v>
      </c>
      <c r="G27" s="5" t="s">
        <v>94</v>
      </c>
    </row>
    <row r="28" customFormat="false" ht="15" hidden="false" customHeight="false" outlineLevel="0" collapsed="false">
      <c r="A28" s="24" t="s">
        <v>95</v>
      </c>
      <c r="B28" s="25" t="n">
        <f aca="false">COUNT(Dados!H2:H8)</f>
        <v>6</v>
      </c>
      <c r="C28" s="25" t="n">
        <f aca="false">COUNT(Dados!H9:H27)</f>
        <v>19</v>
      </c>
      <c r="D28" s="25" t="n">
        <f aca="false">COUNT(Dados!H28:H39)</f>
        <v>11</v>
      </c>
      <c r="E28" s="25" t="n">
        <f aca="false">COUNT(Dados!H28:H38)</f>
        <v>10</v>
      </c>
      <c r="F28" s="25" t="n">
        <f aca="false">COUNT(Dados!H9:H39)</f>
        <v>30</v>
      </c>
      <c r="G28" s="25" t="n">
        <f aca="false">COUNT(Dados!H2:H27)</f>
        <v>25</v>
      </c>
    </row>
    <row r="29" customFormat="false" ht="15" hidden="false" customHeight="false" outlineLevel="0" collapsed="false">
      <c r="A29" s="24" t="s">
        <v>96</v>
      </c>
      <c r="B29" s="26" t="n">
        <f aca="false">AVERAGE(Dados!H2:H8)</f>
        <v>3.77333333333333</v>
      </c>
      <c r="C29" s="26" t="n">
        <f aca="false">AVERAGE(Dados!H9:H27)</f>
        <v>2.94263157894737</v>
      </c>
      <c r="D29" s="26" t="n">
        <f aca="false">AVERAGE(Dados!H28:H39)</f>
        <v>11.4345454545455</v>
      </c>
      <c r="E29" s="26" t="n">
        <f aca="false">AVERAGE(Dados!H28:H38)</f>
        <v>12.206</v>
      </c>
      <c r="F29" s="26" t="n">
        <f aca="false">AVERAGE(Dados!H9:H39)</f>
        <v>6.05633333333333</v>
      </c>
      <c r="G29" s="26" t="n">
        <f aca="false">AVERAGE(Dados!H2:H27)</f>
        <v>3.142</v>
      </c>
    </row>
    <row r="30" customFormat="false" ht="15" hidden="false" customHeight="false" outlineLevel="0" collapsed="false">
      <c r="A30" s="24" t="s">
        <v>97</v>
      </c>
      <c r="B30" s="26" t="n">
        <f aca="false">MEDIAN(Dados!H2:H8)</f>
        <v>3.73</v>
      </c>
      <c r="C30" s="26" t="n">
        <f aca="false">MEDIAN(Dados!H9:H27)</f>
        <v>2.22</v>
      </c>
      <c r="D30" s="26" t="n">
        <f aca="false">MEDIAN(Dados!H28:H39)</f>
        <v>8.45</v>
      </c>
      <c r="E30" s="26" t="n">
        <f aca="false">MEDIAN(Dados!H28:H38)</f>
        <v>11.09</v>
      </c>
      <c r="F30" s="26" t="n">
        <f aca="false">MEDIAN(Dados!H9:H39)</f>
        <v>3.785</v>
      </c>
      <c r="G30" s="26" t="n">
        <f aca="false">MEDIAN(Dados!H2:H27)</f>
        <v>2.33</v>
      </c>
    </row>
    <row r="31" customFormat="false" ht="15" hidden="false" customHeight="false" outlineLevel="0" collapsed="false">
      <c r="A31" s="24" t="s">
        <v>98</v>
      </c>
      <c r="B31" s="26" t="n">
        <f aca="false">GEOMEAN(Dados!H2:H8)</f>
        <v>3.46593907664243</v>
      </c>
      <c r="C31" s="26" t="n">
        <f aca="false">GEOMEAN(Dados!H9:H27)</f>
        <v>2.24202442676666</v>
      </c>
      <c r="D31" s="26" t="n">
        <f aca="false">GEOMEAN(Dados!H28:H39)</f>
        <v>9.30097027257995</v>
      </c>
      <c r="E31" s="26" t="n">
        <f aca="false">GEOMEAN(Dados!H28:H38)</f>
        <v>10.1935812275216</v>
      </c>
      <c r="F31" s="26" t="n">
        <f aca="false">GEOMEAN(Dados!H9:H39)</f>
        <v>3.77745450594004</v>
      </c>
      <c r="G31" s="26" t="n">
        <f aca="false">GEOMEAN(Dados!H2:H27)</f>
        <v>2.48910765370481</v>
      </c>
    </row>
    <row r="32" customFormat="false" ht="15" hidden="false" customHeight="false" outlineLevel="0" collapsed="false">
      <c r="A32" s="24" t="s">
        <v>99</v>
      </c>
      <c r="B32" s="26" t="n">
        <f aca="false">STDEV(Dados!H2:H8)</f>
        <v>1.64971108581675</v>
      </c>
      <c r="C32" s="26" t="n">
        <f aca="false">STDEV(Dados!H9:H27)</f>
        <v>2.15328390579305</v>
      </c>
      <c r="D32" s="26" t="n">
        <f aca="false">STDEV(Dados!H28:H39)</f>
        <v>7.18858868434739</v>
      </c>
      <c r="E32" s="26" t="n">
        <f aca="false">STDEV(Dados!H28:H38)</f>
        <v>7.0812148989029</v>
      </c>
      <c r="F32" s="26" t="n">
        <f aca="false">STDEV(Dados!H9:H39)</f>
        <v>6.16609723062094</v>
      </c>
      <c r="G32" s="26" t="n">
        <f aca="false">STDEV(Dados!H2:H27)</f>
        <v>2.04342237435142</v>
      </c>
    </row>
    <row r="33" customFormat="false" ht="15" hidden="false" customHeight="false" outlineLevel="0" collapsed="false">
      <c r="A33" s="24" t="s">
        <v>100</v>
      </c>
      <c r="B33" s="27" t="n">
        <f aca="false">STDEV(Dados!H2:H8)/AVERAGE(Dados!H2:H8)</f>
        <v>0.43720258458041</v>
      </c>
      <c r="C33" s="27" t="n">
        <f aca="false">STDEV(Dados!H9:H27)/AVERAGE(Dados!H9:H27)</f>
        <v>0.731754502058092</v>
      </c>
      <c r="D33" s="27" t="n">
        <f aca="false">STDEV(Dados!H28:H39)/AVERAGE(Dados!H28:H39)</f>
        <v>0.628672885417564</v>
      </c>
      <c r="E33" s="27" t="n">
        <f aca="false">STDEV(Dados!H28:H38)/AVERAGE(Dados!H28:H38)</f>
        <v>0.580142134925684</v>
      </c>
      <c r="F33" s="27" t="n">
        <f aca="false">STDEV(Dados!H9:H39)/AVERAGE(Dados!H9:H39)</f>
        <v>1.0181238203458</v>
      </c>
      <c r="G33" s="27" t="n">
        <f aca="false">STDEV(Dados!H2:H27)/AVERAGE(Dados!H2:H27)</f>
        <v>0.650357216534507</v>
      </c>
    </row>
    <row r="34" customFormat="false" ht="15" hidden="false" customHeight="false" outlineLevel="0" collapsed="false">
      <c r="A34" s="24" t="s">
        <v>101</v>
      </c>
      <c r="B34" s="26" t="n">
        <f aca="false">MIN(Dados!H2:H8)</f>
        <v>1.88</v>
      </c>
      <c r="C34" s="26" t="n">
        <f aca="false">MIN(Dados!H9:H27)</f>
        <v>0.58</v>
      </c>
      <c r="D34" s="26" t="n">
        <f aca="false">MIN(Dados!H28:H39)</f>
        <v>3.72</v>
      </c>
      <c r="E34" s="26" t="n">
        <f aca="false">MIN(Dados!H28:H38)</f>
        <v>3.85</v>
      </c>
      <c r="F34" s="26" t="n">
        <f aca="false">MIN(Dados!H9:H39)</f>
        <v>0.58</v>
      </c>
      <c r="G34" s="26" t="n">
        <f aca="false">MIN(Dados!H2:H27)</f>
        <v>0.58</v>
      </c>
    </row>
    <row r="35" customFormat="false" ht="15" hidden="false" customHeight="false" outlineLevel="0" collapsed="false">
      <c r="A35" s="24" t="s">
        <v>102</v>
      </c>
      <c r="B35" s="26" t="n">
        <f aca="false">QUARTILE(Dados!H2:H8,1)</f>
        <v>2.525</v>
      </c>
      <c r="C35" s="26" t="n">
        <f aca="false">QUARTILE(Dados!H9:H27,1)</f>
        <v>1.29</v>
      </c>
      <c r="D35" s="26" t="n">
        <f aca="false">QUARTILE(Dados!H28:H39,1)</f>
        <v>5.165</v>
      </c>
      <c r="E35" s="26" t="n">
        <f aca="false">QUARTILE(Dados!H28:H38,1)</f>
        <v>5.795</v>
      </c>
      <c r="F35" s="26" t="n">
        <f aca="false">QUARTILE(Dados!H9:H39,1)</f>
        <v>1.9</v>
      </c>
      <c r="G35" s="26" t="n">
        <f aca="false">QUARTILE(Dados!H2:H27,1)</f>
        <v>1.68</v>
      </c>
    </row>
    <row r="36" customFormat="false" ht="15" hidden="false" customHeight="false" outlineLevel="0" collapsed="false">
      <c r="A36" s="24" t="s">
        <v>103</v>
      </c>
      <c r="B36" s="26" t="n">
        <f aca="false">QUARTILE(Dados!H2:H8,3)</f>
        <v>4.59</v>
      </c>
      <c r="C36" s="26" t="n">
        <f aca="false">QUARTILE(Dados!H9:H27,3)</f>
        <v>4.155</v>
      </c>
      <c r="D36" s="26" t="n">
        <f aca="false">QUARTILE(Dados!H28:H39,3)</f>
        <v>18.38</v>
      </c>
      <c r="E36" s="26" t="n">
        <f aca="false">QUARTILE(Dados!H28:H38,3)</f>
        <v>18.92</v>
      </c>
      <c r="F36" s="26" t="n">
        <f aca="false">QUARTILE(Dados!H9:H39,3)</f>
        <v>6.64</v>
      </c>
      <c r="G36" s="26" t="n">
        <f aca="false">QUARTILE(Dados!H2:H27,3)</f>
        <v>4.8</v>
      </c>
    </row>
    <row r="37" customFormat="false" ht="15" hidden="false" customHeight="false" outlineLevel="0" collapsed="false">
      <c r="A37" s="24" t="s">
        <v>104</v>
      </c>
      <c r="B37" s="26" t="n">
        <f aca="false">MAX(Dados!H2:H8)</f>
        <v>6.3</v>
      </c>
      <c r="C37" s="26" t="n">
        <f aca="false">MAX(Dados!H9:H27)</f>
        <v>8.07</v>
      </c>
      <c r="D37" s="26" t="n">
        <f aca="false">MAX(Dados!H28:H39)</f>
        <v>22.16</v>
      </c>
      <c r="E37" s="26" t="n">
        <f aca="false">MAX(Dados!H28:H38)</f>
        <v>22.16</v>
      </c>
      <c r="F37" s="26" t="n">
        <f aca="false">MAX(Dados!H9:H39)</f>
        <v>22.16</v>
      </c>
      <c r="G37" s="26" t="n">
        <f aca="false">MAX(Dados!H2:H27)</f>
        <v>8.07</v>
      </c>
    </row>
    <row r="39" customFormat="false" ht="42" hidden="false" customHeight="true" outlineLevel="0" collapsed="false">
      <c r="A39" s="23" t="s">
        <v>107</v>
      </c>
      <c r="B39" s="5" t="s">
        <v>89</v>
      </c>
      <c r="C39" s="5" t="s">
        <v>90</v>
      </c>
      <c r="D39" s="5" t="s">
        <v>91</v>
      </c>
      <c r="E39" s="5" t="s">
        <v>92</v>
      </c>
      <c r="F39" s="5" t="s">
        <v>93</v>
      </c>
      <c r="G39" s="5" t="s">
        <v>94</v>
      </c>
    </row>
    <row r="40" customFormat="false" ht="15" hidden="false" customHeight="false" outlineLevel="0" collapsed="false">
      <c r="A40" s="24" t="s">
        <v>95</v>
      </c>
      <c r="B40" s="25" t="n">
        <f aca="false">COUNT(Dados!K2:K8)</f>
        <v>6</v>
      </c>
      <c r="C40" s="25" t="n">
        <f aca="false">COUNT(Dados!K9:K27)</f>
        <v>19</v>
      </c>
      <c r="D40" s="25" t="n">
        <f aca="false">COUNT(Dados!K28:K39)</f>
        <v>11</v>
      </c>
      <c r="E40" s="25" t="n">
        <f aca="false">COUNT(Dados!K28:K38)</f>
        <v>10</v>
      </c>
      <c r="F40" s="25" t="n">
        <f aca="false">COUNT(Dados!K9:K39)</f>
        <v>30</v>
      </c>
      <c r="G40" s="25" t="n">
        <f aca="false">COUNT(Dados!K2:K27)</f>
        <v>25</v>
      </c>
    </row>
    <row r="41" customFormat="false" ht="15" hidden="false" customHeight="false" outlineLevel="0" collapsed="false">
      <c r="A41" s="24" t="s">
        <v>96</v>
      </c>
      <c r="B41" s="28" t="n">
        <f aca="false">AVERAGE(Dados!K2:K8)</f>
        <v>0.551743626743627</v>
      </c>
      <c r="C41" s="28" t="n">
        <f aca="false">AVERAGE(Dados!K9:K27)</f>
        <v>0.706925806418881</v>
      </c>
      <c r="D41" s="28" t="n">
        <f aca="false">AVERAGE(Dados!K28:K39)</f>
        <v>0.685779322445232</v>
      </c>
      <c r="E41" s="28" t="n">
        <f aca="false">AVERAGE(Dados!K28:K38)</f>
        <v>0.654518293650794</v>
      </c>
      <c r="F41" s="28" t="n">
        <f aca="false">AVERAGE(Dados!K9:K39)</f>
        <v>0.699172095628543</v>
      </c>
      <c r="G41" s="28" t="n">
        <f aca="false">AVERAGE(Dados!K2:K27)</f>
        <v>0.66968208329682</v>
      </c>
    </row>
    <row r="42" customFormat="false" ht="15" hidden="false" customHeight="false" outlineLevel="0" collapsed="false">
      <c r="A42" s="24" t="s">
        <v>97</v>
      </c>
      <c r="B42" s="28" t="n">
        <f aca="false">MEDIAN(Dados!K2:K8)</f>
        <v>0.616818181818182</v>
      </c>
      <c r="C42" s="28" t="n">
        <f aca="false">MEDIAN(Dados!K9:K27)</f>
        <v>0.711578947368421</v>
      </c>
      <c r="D42" s="28" t="n">
        <f aca="false">MEDIAN(Dados!K28:K39)</f>
        <v>0.718333333333333</v>
      </c>
      <c r="E42" s="28" t="n">
        <f aca="false">MEDIAN(Dados!K28:K38)</f>
        <v>0.716145833333333</v>
      </c>
      <c r="F42" s="28" t="n">
        <f aca="false">MEDIAN(Dados!K9:K39)</f>
        <v>0.716145833333333</v>
      </c>
      <c r="G42" s="28" t="n">
        <f aca="false">MEDIAN(Dados!K2:K27)</f>
        <v>0.689615384615385</v>
      </c>
    </row>
    <row r="43" customFormat="false" ht="15" hidden="false" customHeight="false" outlineLevel="0" collapsed="false">
      <c r="A43" s="24" t="s">
        <v>98</v>
      </c>
      <c r="B43" s="28" t="n">
        <f aca="false">GEOMEAN(Dados!K2:K8)</f>
        <v>0.513983881393641</v>
      </c>
      <c r="C43" s="28" t="n">
        <f aca="false">GEOMEAN(Dados!K9:K27)</f>
        <v>0.691592483926863</v>
      </c>
      <c r="D43" s="28" t="n">
        <f aca="false">GEOMEAN(Dados!K28:K39)</f>
        <v>0.63957204911869</v>
      </c>
      <c r="E43" s="28" t="n">
        <f aca="false">GEOMEAN(Dados!K28:K38)</f>
        <v>0.611713997082856</v>
      </c>
      <c r="F43" s="28" t="n">
        <f aca="false">GEOMEAN(Dados!K9:K39)</f>
        <v>0.672044413810352</v>
      </c>
      <c r="G43" s="28" t="n">
        <f aca="false">GEOMEAN(Dados!K2:K27)</f>
        <v>0.644041838637644</v>
      </c>
    </row>
    <row r="44" customFormat="false" ht="15" hidden="false" customHeight="false" outlineLevel="0" collapsed="false">
      <c r="A44" s="24" t="s">
        <v>99</v>
      </c>
      <c r="B44" s="28" t="n">
        <f aca="false">STDEV(Dados!K2:K8)</f>
        <v>0.207904133800206</v>
      </c>
      <c r="C44" s="28" t="n">
        <f aca="false">STDEV(Dados!K9:K27)</f>
        <v>0.14736378151916</v>
      </c>
      <c r="D44" s="28" t="n">
        <f aca="false">STDEV(Dados!K28:K39)</f>
        <v>0.2061796897951</v>
      </c>
      <c r="E44" s="28" t="n">
        <f aca="false">STDEV(Dados!K28:K38)</f>
        <v>0.187854238262455</v>
      </c>
      <c r="F44" s="28" t="n">
        <f aca="false">STDEV(Dados!K9:K39)</f>
        <v>0.168062536534268</v>
      </c>
      <c r="G44" s="28" t="n">
        <f aca="false">STDEV(Dados!K2:K27)</f>
        <v>0.172822384576153</v>
      </c>
    </row>
    <row r="45" customFormat="false" ht="15" hidden="false" customHeight="false" outlineLevel="0" collapsed="false">
      <c r="A45" s="24" t="s">
        <v>100</v>
      </c>
      <c r="B45" s="27" t="n">
        <f aca="false">STDEV(Dados!K2:K8)/AVERAGE(Dados!K2:K8)</f>
        <v>0.376812932171504</v>
      </c>
      <c r="C45" s="27" t="n">
        <f aca="false">STDEV(Dados!K9:K27)/AVERAGE(Dados!K9:K27)</f>
        <v>0.208457210333952</v>
      </c>
      <c r="D45" s="27" t="n">
        <f aca="false">STDEV(Dados!K28:K39)/AVERAGE(Dados!K28:K39)</f>
        <v>0.300650199046453</v>
      </c>
      <c r="E45" s="27" t="n">
        <f aca="false">STDEV(Dados!K28:K38)/AVERAGE(Dados!K28:K38)</f>
        <v>0.287011440451321</v>
      </c>
      <c r="F45" s="27" t="n">
        <f aca="false">STDEV(Dados!K9:K39)/AVERAGE(Dados!K9:K39)</f>
        <v>0.240373632736563</v>
      </c>
      <c r="G45" s="27" t="n">
        <f aca="false">STDEV(Dados!K2:K27)/AVERAGE(Dados!K2:K27)</f>
        <v>0.258066310696794</v>
      </c>
    </row>
    <row r="46" customFormat="false" ht="15" hidden="false" customHeight="false" outlineLevel="0" collapsed="false">
      <c r="A46" s="24" t="s">
        <v>101</v>
      </c>
      <c r="B46" s="28" t="n">
        <f aca="false">MIN(Dados!K2:K8)</f>
        <v>0.3</v>
      </c>
      <c r="C46" s="28" t="n">
        <f aca="false">MIN(Dados!K9:K27)</f>
        <v>0.419</v>
      </c>
      <c r="D46" s="28" t="n">
        <f aca="false">MIN(Dados!K28:K39)</f>
        <v>0.176190476190476</v>
      </c>
      <c r="E46" s="28" t="n">
        <f aca="false">MIN(Dados!K28:K38)</f>
        <v>0.176190476190476</v>
      </c>
      <c r="F46" s="28" t="n">
        <f aca="false">MIN(Dados!K9:K39)</f>
        <v>0.176190476190476</v>
      </c>
      <c r="G46" s="28" t="n">
        <f aca="false">MIN(Dados!K2:K27)</f>
        <v>0.3</v>
      </c>
    </row>
    <row r="47" customFormat="false" ht="15" hidden="false" customHeight="false" outlineLevel="0" collapsed="false">
      <c r="A47" s="24" t="s">
        <v>102</v>
      </c>
      <c r="B47" s="28" t="n">
        <f aca="false">QUARTILE(Dados!K2:K8,1)</f>
        <v>0.365909090909091</v>
      </c>
      <c r="C47" s="28" t="n">
        <f aca="false">QUARTILE(Dados!K9:K27,1)</f>
        <v>0.583928571428571</v>
      </c>
      <c r="D47" s="28" t="n">
        <f aca="false">QUARTILE(Dados!K28:K39,1)</f>
        <v>0.623571428571429</v>
      </c>
      <c r="E47" s="28" t="n">
        <f aca="false">QUARTILE(Dados!K28:K38,1)</f>
        <v>0.613214285714286</v>
      </c>
      <c r="F47" s="28" t="n">
        <f aca="false">QUARTILE(Dados!K9:K39,1)</f>
        <v>0.596964285714286</v>
      </c>
      <c r="G47" s="28" t="n">
        <f aca="false">QUARTILE(Dados!K2:K27,1)</f>
        <v>0.563636363636364</v>
      </c>
    </row>
    <row r="48" customFormat="false" ht="15" hidden="false" customHeight="false" outlineLevel="0" collapsed="false">
      <c r="A48" s="24" t="s">
        <v>103</v>
      </c>
      <c r="B48" s="28" t="n">
        <f aca="false">QUARTILE(Dados!K2:K8,3)</f>
        <v>0.681785714285714</v>
      </c>
      <c r="C48" s="28" t="n">
        <f aca="false">QUARTILE(Dados!K9:K27,3)</f>
        <v>0.814166666666667</v>
      </c>
      <c r="D48" s="28" t="n">
        <f aca="false">QUARTILE(Dados!K28:K39,3)</f>
        <v>0.791180555555556</v>
      </c>
      <c r="E48" s="28" t="n">
        <f aca="false">QUARTILE(Dados!K28:K38,3)</f>
        <v>0.774821428571429</v>
      </c>
      <c r="F48" s="28" t="n">
        <f aca="false">QUARTILE(Dados!K9:K39,3)</f>
        <v>0.806145833333333</v>
      </c>
      <c r="G48" s="28" t="n">
        <f aca="false">QUARTILE(Dados!K2:K27,3)</f>
        <v>0.791111111111111</v>
      </c>
    </row>
    <row r="49" customFormat="false" ht="15" hidden="false" customHeight="false" outlineLevel="0" collapsed="false">
      <c r="A49" s="24" t="s">
        <v>104</v>
      </c>
      <c r="B49" s="28" t="n">
        <f aca="false">MAX(Dados!K2:K8)</f>
        <v>0.791111111111111</v>
      </c>
      <c r="C49" s="28" t="n">
        <f aca="false">MAX(Dados!K9:K27)</f>
        <v>0.963157894736842</v>
      </c>
      <c r="D49" s="28" t="n">
        <f aca="false">MAX(Dados!K28:K39)</f>
        <v>0.998389610389611</v>
      </c>
      <c r="E49" s="28" t="n">
        <f aca="false">MAX(Dados!K28:K38)</f>
        <v>0.809444444444444</v>
      </c>
      <c r="F49" s="28" t="n">
        <f aca="false">MAX(Dados!K9:K39)</f>
        <v>0.998389610389611</v>
      </c>
      <c r="G49" s="28" t="n">
        <f aca="false">MAX(Dados!K2:K27)</f>
        <v>0.963157894736842</v>
      </c>
    </row>
    <row r="51" customFormat="false" ht="15" hidden="false" customHeight="false" outlineLevel="0" collapsed="false">
      <c r="A51" s="2" t="s">
        <v>108</v>
      </c>
    </row>
    <row r="52" customFormat="false" ht="15" hidden="false" customHeight="false" outlineLevel="0" collapsed="false">
      <c r="A52" s="24" t="s">
        <v>109</v>
      </c>
      <c r="B52" s="29" t="n">
        <f aca="false">AVERAGE(Dados!F2:F27)+2*STDEV(Dados!F2:F27)</f>
        <v>20.1824816141584</v>
      </c>
    </row>
    <row r="53" customFormat="false" ht="15" hidden="false" customHeight="false" outlineLevel="0" collapsed="false">
      <c r="A53" s="24" t="s">
        <v>110</v>
      </c>
      <c r="B53" s="29" t="n">
        <f aca="false">MEDIAN(Dados!F2:F27)+2*1.4826*MEDIAN(Dados!M2:M27)</f>
        <v>15.913</v>
      </c>
      <c r="C53" s="22" t="s">
        <v>111</v>
      </c>
    </row>
    <row r="54" customFormat="false" ht="15" hidden="false" customHeight="false" outlineLevel="0" collapsed="false">
      <c r="A54" s="24" t="s">
        <v>112</v>
      </c>
      <c r="B54" s="29" t="n">
        <f aca="false">COUNTIF(Dados!F2:F27,"&gt;"&amp;B52)</f>
        <v>1</v>
      </c>
    </row>
    <row r="55" customFormat="false" ht="15" hidden="false" customHeight="false" outlineLevel="0" collapsed="false">
      <c r="A55" s="24" t="s">
        <v>113</v>
      </c>
      <c r="B55" s="29" t="n">
        <f aca="false">COUNTIF(Dados!F28:F39,"&gt;"&amp;B52)</f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6"/>
    <col collapsed="false" customWidth="true" hidden="false" outlineLevel="0" max="5" min="3" style="0" width="14"/>
  </cols>
  <sheetData>
    <row r="1" customFormat="false" ht="16.15" hidden="false" customHeight="false" outlineLevel="0" collapsed="false">
      <c r="A1" s="1" t="s">
        <v>114</v>
      </c>
    </row>
    <row r="2" customFormat="false" ht="15" hidden="false" customHeight="false" outlineLevel="0" collapsed="false">
      <c r="A2" s="22" t="s">
        <v>115</v>
      </c>
    </row>
    <row r="4" customFormat="false" ht="15" hidden="false" customHeight="false" outlineLevel="0" collapsed="false">
      <c r="A4" s="23" t="s">
        <v>116</v>
      </c>
      <c r="B4" s="23" t="s">
        <v>117</v>
      </c>
      <c r="C4" s="23" t="s">
        <v>118</v>
      </c>
      <c r="D4" s="23" t="s">
        <v>119</v>
      </c>
      <c r="E4" s="23" t="s">
        <v>120</v>
      </c>
    </row>
    <row r="5" customFormat="false" ht="15" hidden="false" customHeight="false" outlineLevel="0" collapsed="false">
      <c r="A5" s="24" t="s">
        <v>121</v>
      </c>
      <c r="B5" s="24" t="s">
        <v>122</v>
      </c>
      <c r="C5" s="24" t="n">
        <v>64</v>
      </c>
      <c r="D5" s="30" t="n">
        <v>0.907452571206505</v>
      </c>
      <c r="E5" s="24" t="str">
        <f aca="false">IF(D5&lt;0.05,"Sim","Não")</f>
        <v>Não</v>
      </c>
    </row>
    <row r="6" customFormat="false" ht="15" hidden="false" customHeight="false" outlineLevel="0" collapsed="false">
      <c r="A6" s="24" t="s">
        <v>123</v>
      </c>
      <c r="B6" s="24" t="s">
        <v>122</v>
      </c>
      <c r="C6" s="24" t="n">
        <v>0</v>
      </c>
      <c r="D6" s="30" t="n">
        <v>0.000447313816884169</v>
      </c>
      <c r="E6" s="24" t="str">
        <f aca="false">IF(D6&lt;0.05,"Sim","Não")</f>
        <v>Sim</v>
      </c>
    </row>
    <row r="7" customFormat="false" ht="15" hidden="false" customHeight="false" outlineLevel="0" collapsed="false">
      <c r="A7" s="24" t="s">
        <v>124</v>
      </c>
      <c r="B7" s="24" t="s">
        <v>122</v>
      </c>
      <c r="C7" s="24" t="n">
        <v>7</v>
      </c>
      <c r="D7" s="30" t="n">
        <v>1.52961708347155E-005</v>
      </c>
      <c r="E7" s="24" t="str">
        <f aca="false">IF(D7&lt;0.05,"Sim","Não")</f>
        <v>Sim</v>
      </c>
    </row>
    <row r="8" customFormat="false" ht="15" hidden="false" customHeight="false" outlineLevel="0" collapsed="false">
      <c r="A8" s="24" t="s">
        <v>125</v>
      </c>
      <c r="B8" s="24" t="s">
        <v>122</v>
      </c>
      <c r="C8" s="24" t="n">
        <v>64</v>
      </c>
      <c r="D8" s="30" t="n">
        <v>0.0969463226392362</v>
      </c>
      <c r="E8" s="24" t="str">
        <f aca="false">IF(D8&lt;0.05,"Sim","Não")</f>
        <v>Não</v>
      </c>
    </row>
    <row r="9" customFormat="false" ht="15" hidden="false" customHeight="false" outlineLevel="0" collapsed="false">
      <c r="A9" s="24" t="s">
        <v>126</v>
      </c>
      <c r="B9" s="24" t="s">
        <v>122</v>
      </c>
      <c r="C9" s="24" t="n">
        <v>31</v>
      </c>
      <c r="D9" s="30" t="n">
        <v>0.105985319028797</v>
      </c>
      <c r="E9" s="24" t="str">
        <f aca="false">IF(D9&lt;0.05,"Sim","Não")</f>
        <v>Não</v>
      </c>
    </row>
    <row r="10" customFormat="false" ht="15" hidden="false" customHeight="false" outlineLevel="0" collapsed="false">
      <c r="A10" s="24" t="s">
        <v>127</v>
      </c>
      <c r="B10" s="24" t="s">
        <v>122</v>
      </c>
      <c r="C10" s="24" t="n">
        <v>77</v>
      </c>
      <c r="D10" s="30" t="n">
        <v>0.221174477696217</v>
      </c>
      <c r="E10" s="24" t="str">
        <f aca="false">IF(D10&lt;0.05,"Sim","Não")</f>
        <v>Não</v>
      </c>
    </row>
    <row r="11" customFormat="false" ht="15" hidden="false" customHeight="false" outlineLevel="0" collapsed="false">
      <c r="A11" s="24" t="s">
        <v>128</v>
      </c>
      <c r="B11" s="24" t="s">
        <v>122</v>
      </c>
      <c r="C11" s="24" t="n">
        <v>20</v>
      </c>
      <c r="D11" s="30" t="n">
        <v>0.000300274119441777</v>
      </c>
      <c r="E11" s="24" t="str">
        <f aca="false">IF(D11&lt;0.05,"Sim","Não")</f>
        <v>Sim</v>
      </c>
    </row>
    <row r="12" customFormat="false" ht="15" hidden="false" customHeight="false" outlineLevel="0" collapsed="false">
      <c r="A12" s="24" t="s">
        <v>129</v>
      </c>
      <c r="B12" s="24" t="s">
        <v>130</v>
      </c>
      <c r="C12" s="24" t="n">
        <v>0.608</v>
      </c>
      <c r="D12" s="30" t="n">
        <v>0.0359247793980711</v>
      </c>
      <c r="E12" s="24" t="str">
        <f aca="false">IF(D12&lt;0.05,"Sim","Não")</f>
        <v>Sim</v>
      </c>
    </row>
    <row r="13" customFormat="false" ht="15" hidden="false" customHeight="false" outlineLevel="0" collapsed="false">
      <c r="A13" s="24" t="s">
        <v>131</v>
      </c>
      <c r="B13" s="24" t="s">
        <v>130</v>
      </c>
      <c r="C13" s="24" t="n">
        <v>0.673</v>
      </c>
      <c r="D13" s="30" t="n">
        <v>0.0233007858478941</v>
      </c>
      <c r="E13" s="24" t="str">
        <f aca="false">IF(D13&lt;0.05,"Sim","Não")</f>
        <v>Sim</v>
      </c>
    </row>
    <row r="14" customFormat="false" ht="15" hidden="false" customHeight="false" outlineLevel="0" collapsed="false">
      <c r="A14" s="24" t="s">
        <v>132</v>
      </c>
      <c r="B14" s="24" t="s">
        <v>130</v>
      </c>
      <c r="C14" s="24" t="n">
        <v>0.198</v>
      </c>
      <c r="D14" s="30" t="n">
        <v>0.28608922045671</v>
      </c>
      <c r="E14" s="24" t="str">
        <f aca="false">IF(D14&lt;0.05,"Sim","Não")</f>
        <v>Não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8" min="2" style="0" width="9.5"/>
  </cols>
  <sheetData>
    <row r="1" customFormat="false" ht="16.15" hidden="false" customHeight="false" outlineLevel="0" collapsed="false">
      <c r="A1" s="1" t="s">
        <v>133</v>
      </c>
    </row>
    <row r="2" customFormat="false" ht="15" hidden="false" customHeight="false" outlineLevel="0" collapsed="false">
      <c r="A2" s="22" t="s">
        <v>134</v>
      </c>
    </row>
    <row r="3" customFormat="false" ht="15" hidden="false" customHeight="false" outlineLevel="0" collapsed="false">
      <c r="A3" s="2" t="s">
        <v>135</v>
      </c>
      <c r="B3" s="31" t="n">
        <v>25</v>
      </c>
      <c r="C3" s="22" t="s">
        <v>136</v>
      </c>
    </row>
    <row r="4" customFormat="false" ht="15" hidden="false" customHeight="false" outlineLevel="0" collapsed="false">
      <c r="A4" s="2" t="s">
        <v>137</v>
      </c>
      <c r="B4" s="32" t="n">
        <f aca="false">TINV(0.05,B3-2)/SQRT(TINV(0.05,B3-2)^2+B3-2)</f>
        <v>0.396069729346972</v>
      </c>
    </row>
    <row r="5" customFormat="false" ht="15" hidden="false" customHeight="false" outlineLevel="0" collapsed="false">
      <c r="A5" s="2" t="s">
        <v>138</v>
      </c>
      <c r="B5" s="32" t="n">
        <f aca="false">TINV(0.01,B3-2)/SQRT(TINV(0.01,B3-2)^2+B3-2)</f>
        <v>0.505181837877474</v>
      </c>
    </row>
    <row r="7" customFormat="false" ht="30" hidden="false" customHeight="true" outlineLevel="0" collapsed="false">
      <c r="A7" s="33"/>
      <c r="B7" s="5" t="s">
        <v>139</v>
      </c>
      <c r="C7" s="5" t="s">
        <v>140</v>
      </c>
      <c r="D7" s="5" t="s">
        <v>141</v>
      </c>
      <c r="E7" s="5" t="s">
        <v>142</v>
      </c>
      <c r="F7" s="5" t="s">
        <v>143</v>
      </c>
      <c r="G7" s="5" t="s">
        <v>144</v>
      </c>
      <c r="H7" s="5" t="s">
        <v>145</v>
      </c>
      <c r="I7" s="5" t="s">
        <v>146</v>
      </c>
      <c r="J7" s="5" t="s">
        <v>147</v>
      </c>
      <c r="K7" s="5" t="s">
        <v>148</v>
      </c>
      <c r="L7" s="5" t="s">
        <v>149</v>
      </c>
      <c r="M7" s="5" t="s">
        <v>150</v>
      </c>
      <c r="N7" s="5" t="s">
        <v>151</v>
      </c>
      <c r="O7" s="5" t="s">
        <v>152</v>
      </c>
      <c r="P7" s="5" t="s">
        <v>153</v>
      </c>
      <c r="Q7" s="5" t="s">
        <v>154</v>
      </c>
      <c r="R7" s="5" t="s">
        <v>155</v>
      </c>
    </row>
    <row r="8" customFormat="false" ht="15" hidden="false" customHeight="false" outlineLevel="0" collapsed="false">
      <c r="A8" s="23" t="s">
        <v>139</v>
      </c>
      <c r="B8" s="34" t="n">
        <v>1</v>
      </c>
      <c r="C8" s="34" t="n">
        <v>-0.3694</v>
      </c>
      <c r="D8" s="34" t="n">
        <v>-0.585</v>
      </c>
      <c r="E8" s="34" t="n">
        <v>-0.4402</v>
      </c>
      <c r="F8" s="34" t="n">
        <v>-0.1441</v>
      </c>
      <c r="G8" s="34" t="n">
        <v>-0.425</v>
      </c>
      <c r="H8" s="34" t="n">
        <v>-0.5867</v>
      </c>
      <c r="I8" s="34" t="n">
        <v>-0.5501</v>
      </c>
      <c r="J8" s="34" t="n">
        <v>-0.1444</v>
      </c>
      <c r="K8" s="34" t="n">
        <v>0.0108</v>
      </c>
      <c r="L8" s="34" t="n">
        <v>0.2678</v>
      </c>
      <c r="M8" s="34" t="n">
        <v>-0.1705</v>
      </c>
      <c r="N8" s="34" t="n">
        <v>0.2056</v>
      </c>
      <c r="O8" s="34" t="n">
        <v>-0.8273</v>
      </c>
      <c r="P8" s="34" t="n">
        <v>0.0874</v>
      </c>
      <c r="Q8" s="34" t="n">
        <v>0.0074</v>
      </c>
      <c r="R8" s="34" t="n">
        <v>0.2087</v>
      </c>
    </row>
    <row r="9" customFormat="false" ht="15" hidden="false" customHeight="false" outlineLevel="0" collapsed="false">
      <c r="A9" s="23" t="s">
        <v>140</v>
      </c>
      <c r="B9" s="35" t="n">
        <f aca="false">C8</f>
        <v>-0.3694</v>
      </c>
      <c r="C9" s="34" t="n">
        <v>1</v>
      </c>
      <c r="D9" s="34" t="n">
        <v>0.2194</v>
      </c>
      <c r="E9" s="34" t="n">
        <v>0.7708</v>
      </c>
      <c r="F9" s="34" t="n">
        <v>0.4963</v>
      </c>
      <c r="G9" s="34" t="n">
        <v>0.62</v>
      </c>
      <c r="H9" s="34" t="n">
        <v>-0.2387</v>
      </c>
      <c r="I9" s="34" t="n">
        <v>-0.3031</v>
      </c>
      <c r="J9" s="34" t="n">
        <v>0.3743</v>
      </c>
      <c r="K9" s="34" t="n">
        <v>0.0824</v>
      </c>
      <c r="L9" s="34" t="n">
        <v>-0.1214</v>
      </c>
      <c r="M9" s="34" t="n">
        <v>0.2212</v>
      </c>
      <c r="N9" s="34" t="n">
        <v>0.0493</v>
      </c>
      <c r="O9" s="34" t="n">
        <v>0.0059</v>
      </c>
      <c r="P9" s="34" t="n">
        <v>-0.0598</v>
      </c>
      <c r="Q9" s="34" t="n">
        <v>-0.0638</v>
      </c>
      <c r="R9" s="34" t="n">
        <v>-0.0351</v>
      </c>
    </row>
    <row r="10" customFormat="false" ht="15" hidden="false" customHeight="false" outlineLevel="0" collapsed="false">
      <c r="A10" s="23" t="s">
        <v>141</v>
      </c>
      <c r="B10" s="35" t="n">
        <f aca="false">D8</f>
        <v>-0.585</v>
      </c>
      <c r="C10" s="35" t="n">
        <f aca="false">D9</f>
        <v>0.2194</v>
      </c>
      <c r="D10" s="34" t="n">
        <v>1</v>
      </c>
      <c r="E10" s="34" t="n">
        <v>0.1967</v>
      </c>
      <c r="F10" s="34" t="n">
        <v>-0.0588</v>
      </c>
      <c r="G10" s="34" t="n">
        <v>0.0677</v>
      </c>
      <c r="H10" s="34" t="n">
        <v>0.4509</v>
      </c>
      <c r="I10" s="34" t="n">
        <v>0.4068</v>
      </c>
      <c r="J10" s="34" t="n">
        <v>-0.1084</v>
      </c>
      <c r="K10" s="34" t="n">
        <v>0.0564</v>
      </c>
      <c r="L10" s="34" t="n">
        <v>0.073</v>
      </c>
      <c r="M10" s="34" t="n">
        <v>-0.0049</v>
      </c>
      <c r="N10" s="34" t="n">
        <v>-0.1335</v>
      </c>
      <c r="O10" s="34" t="n">
        <v>0.5286</v>
      </c>
      <c r="P10" s="34" t="n">
        <v>-0.0342</v>
      </c>
      <c r="Q10" s="34" t="n">
        <v>-0.0122</v>
      </c>
      <c r="R10" s="34" t="n">
        <v>-0.0557</v>
      </c>
    </row>
    <row r="11" customFormat="false" ht="15" hidden="false" customHeight="false" outlineLevel="0" collapsed="false">
      <c r="A11" s="23" t="s">
        <v>142</v>
      </c>
      <c r="B11" s="35" t="n">
        <f aca="false">E8</f>
        <v>-0.4402</v>
      </c>
      <c r="C11" s="35" t="n">
        <f aca="false">E9</f>
        <v>0.7708</v>
      </c>
      <c r="D11" s="35" t="n">
        <f aca="false">E10</f>
        <v>0.1967</v>
      </c>
      <c r="E11" s="34" t="n">
        <v>1</v>
      </c>
      <c r="F11" s="34" t="n">
        <v>0.2938</v>
      </c>
      <c r="G11" s="34" t="n">
        <v>0.5167</v>
      </c>
      <c r="H11" s="34" t="n">
        <v>-0.1214</v>
      </c>
      <c r="I11" s="34" t="n">
        <v>-0.4291</v>
      </c>
      <c r="J11" s="34" t="n">
        <v>0.2284</v>
      </c>
      <c r="K11" s="34" t="n">
        <v>0.1814</v>
      </c>
      <c r="L11" s="34" t="n">
        <v>0.0184</v>
      </c>
      <c r="M11" s="34" t="n">
        <v>0.5596</v>
      </c>
      <c r="N11" s="34" t="n">
        <v>0.3411</v>
      </c>
      <c r="O11" s="34" t="n">
        <v>0.1136</v>
      </c>
      <c r="P11" s="34" t="n">
        <v>-0.0407</v>
      </c>
      <c r="Q11" s="34" t="n">
        <v>0.0368</v>
      </c>
      <c r="R11" s="34" t="n">
        <v>-0.1773</v>
      </c>
    </row>
    <row r="12" customFormat="false" ht="15" hidden="false" customHeight="false" outlineLevel="0" collapsed="false">
      <c r="A12" s="23" t="s">
        <v>143</v>
      </c>
      <c r="B12" s="35" t="n">
        <f aca="false">F8</f>
        <v>-0.1441</v>
      </c>
      <c r="C12" s="35" t="n">
        <f aca="false">F9</f>
        <v>0.4963</v>
      </c>
      <c r="D12" s="35" t="n">
        <f aca="false">F10</f>
        <v>-0.0588</v>
      </c>
      <c r="E12" s="35" t="n">
        <f aca="false">F11</f>
        <v>0.2938</v>
      </c>
      <c r="F12" s="34" t="n">
        <v>1</v>
      </c>
      <c r="G12" s="34" t="n">
        <v>0.5489</v>
      </c>
      <c r="H12" s="34" t="n">
        <v>-0.3021</v>
      </c>
      <c r="I12" s="34" t="n">
        <v>-0.2545</v>
      </c>
      <c r="J12" s="34" t="n">
        <v>0.6762</v>
      </c>
      <c r="K12" s="34" t="n">
        <v>-0.5416</v>
      </c>
      <c r="L12" s="34" t="n">
        <v>-0.3832</v>
      </c>
      <c r="M12" s="34" t="n">
        <v>0.132</v>
      </c>
      <c r="N12" s="34" t="n">
        <v>-0.0308</v>
      </c>
      <c r="O12" s="34" t="n">
        <v>-0.0671</v>
      </c>
      <c r="P12" s="34" t="n">
        <v>-0.3089</v>
      </c>
      <c r="Q12" s="34" t="n">
        <v>-0.3216</v>
      </c>
      <c r="R12" s="34" t="n">
        <v>-0.1072</v>
      </c>
    </row>
    <row r="13" customFormat="false" ht="15" hidden="false" customHeight="false" outlineLevel="0" collapsed="false">
      <c r="A13" s="23" t="s">
        <v>144</v>
      </c>
      <c r="B13" s="35" t="n">
        <f aca="false">G8</f>
        <v>-0.425</v>
      </c>
      <c r="C13" s="35" t="n">
        <f aca="false">G9</f>
        <v>0.62</v>
      </c>
      <c r="D13" s="35" t="n">
        <f aca="false">G10</f>
        <v>0.0677</v>
      </c>
      <c r="E13" s="35" t="n">
        <f aca="false">G11</f>
        <v>0.5167</v>
      </c>
      <c r="F13" s="35" t="n">
        <f aca="false">G12</f>
        <v>0.5489</v>
      </c>
      <c r="G13" s="34" t="n">
        <v>1</v>
      </c>
      <c r="H13" s="34" t="n">
        <v>-0.1666</v>
      </c>
      <c r="I13" s="34" t="n">
        <v>-0.2199</v>
      </c>
      <c r="J13" s="34" t="n">
        <v>0.6159</v>
      </c>
      <c r="K13" s="34" t="n">
        <v>-0.0395</v>
      </c>
      <c r="L13" s="34" t="n">
        <v>-0.5302</v>
      </c>
      <c r="M13" s="34" t="n">
        <v>0.3898</v>
      </c>
      <c r="N13" s="34" t="n">
        <v>-0.0872</v>
      </c>
      <c r="O13" s="34" t="n">
        <v>0.0715</v>
      </c>
      <c r="P13" s="34" t="n">
        <v>-0.1123</v>
      </c>
      <c r="Q13" s="34" t="n">
        <v>-0.0204</v>
      </c>
      <c r="R13" s="34" t="n">
        <v>-0.2553</v>
      </c>
    </row>
    <row r="14" customFormat="false" ht="15" hidden="false" customHeight="false" outlineLevel="0" collapsed="false">
      <c r="A14" s="23" t="s">
        <v>145</v>
      </c>
      <c r="B14" s="35" t="n">
        <f aca="false">H8</f>
        <v>-0.5867</v>
      </c>
      <c r="C14" s="35" t="n">
        <f aca="false">H9</f>
        <v>-0.2387</v>
      </c>
      <c r="D14" s="35" t="n">
        <f aca="false">H10</f>
        <v>0.4509</v>
      </c>
      <c r="E14" s="35" t="n">
        <f aca="false">H11</f>
        <v>-0.1214</v>
      </c>
      <c r="F14" s="35" t="n">
        <f aca="false">H12</f>
        <v>-0.3021</v>
      </c>
      <c r="G14" s="35" t="n">
        <f aca="false">H13</f>
        <v>-0.1666</v>
      </c>
      <c r="H14" s="34" t="n">
        <v>1</v>
      </c>
      <c r="I14" s="34" t="n">
        <v>0.7079</v>
      </c>
      <c r="J14" s="34" t="n">
        <v>-0.4323</v>
      </c>
      <c r="K14" s="34" t="n">
        <v>0.1264</v>
      </c>
      <c r="L14" s="34" t="n">
        <v>0.0825</v>
      </c>
      <c r="M14" s="34" t="n">
        <v>-0.0786</v>
      </c>
      <c r="N14" s="34" t="n">
        <v>-0.0307</v>
      </c>
      <c r="O14" s="34" t="n">
        <v>0.7882</v>
      </c>
      <c r="P14" s="34" t="n">
        <v>-0.1625</v>
      </c>
      <c r="Q14" s="34" t="n">
        <v>-0.0501</v>
      </c>
      <c r="R14" s="34" t="n">
        <v>-0.3077</v>
      </c>
    </row>
    <row r="15" customFormat="false" ht="15" hidden="false" customHeight="false" outlineLevel="0" collapsed="false">
      <c r="A15" s="23" t="s">
        <v>146</v>
      </c>
      <c r="B15" s="35" t="n">
        <f aca="false">I8</f>
        <v>-0.5501</v>
      </c>
      <c r="C15" s="35" t="n">
        <f aca="false">I9</f>
        <v>-0.3031</v>
      </c>
      <c r="D15" s="35" t="n">
        <f aca="false">I10</f>
        <v>0.4068</v>
      </c>
      <c r="E15" s="35" t="n">
        <f aca="false">I11</f>
        <v>-0.4291</v>
      </c>
      <c r="F15" s="35" t="n">
        <f aca="false">I12</f>
        <v>-0.2545</v>
      </c>
      <c r="G15" s="35" t="n">
        <f aca="false">I13</f>
        <v>-0.2199</v>
      </c>
      <c r="H15" s="35" t="n">
        <f aca="false">I14</f>
        <v>0.7079</v>
      </c>
      <c r="I15" s="34" t="n">
        <v>1</v>
      </c>
      <c r="J15" s="34" t="n">
        <v>-0.2274</v>
      </c>
      <c r="K15" s="34" t="n">
        <v>-0.1157</v>
      </c>
      <c r="L15" s="34" t="n">
        <v>-0.1857</v>
      </c>
      <c r="M15" s="34" t="n">
        <v>-0.4839</v>
      </c>
      <c r="N15" s="34" t="n">
        <v>-0.5382</v>
      </c>
      <c r="O15" s="34" t="n">
        <v>0.7328</v>
      </c>
      <c r="P15" s="34" t="n">
        <v>0.0029</v>
      </c>
      <c r="Q15" s="34" t="n">
        <v>-0.0186</v>
      </c>
      <c r="R15" s="34" t="n">
        <v>0.0393</v>
      </c>
    </row>
    <row r="16" customFormat="false" ht="15" hidden="false" customHeight="false" outlineLevel="0" collapsed="false">
      <c r="A16" s="23" t="s">
        <v>147</v>
      </c>
      <c r="B16" s="35" t="n">
        <f aca="false">J8</f>
        <v>-0.1444</v>
      </c>
      <c r="C16" s="35" t="n">
        <f aca="false">J9</f>
        <v>0.3743</v>
      </c>
      <c r="D16" s="35" t="n">
        <f aca="false">J10</f>
        <v>-0.1084</v>
      </c>
      <c r="E16" s="35" t="n">
        <f aca="false">J11</f>
        <v>0.2284</v>
      </c>
      <c r="F16" s="35" t="n">
        <f aca="false">J12</f>
        <v>0.6762</v>
      </c>
      <c r="G16" s="35" t="n">
        <f aca="false">J13</f>
        <v>0.6159</v>
      </c>
      <c r="H16" s="35" t="n">
        <f aca="false">J14</f>
        <v>-0.4323</v>
      </c>
      <c r="I16" s="35" t="n">
        <f aca="false">J15</f>
        <v>-0.2274</v>
      </c>
      <c r="J16" s="34" t="n">
        <v>1</v>
      </c>
      <c r="K16" s="34" t="n">
        <v>-0.2884</v>
      </c>
      <c r="L16" s="34" t="n">
        <v>-0.2951</v>
      </c>
      <c r="M16" s="34" t="n">
        <v>0.2257</v>
      </c>
      <c r="N16" s="34" t="n">
        <v>-0.0048</v>
      </c>
      <c r="O16" s="34" t="n">
        <v>-0.0679</v>
      </c>
      <c r="P16" s="34" t="n">
        <v>-0.1916</v>
      </c>
      <c r="Q16" s="34" t="n">
        <v>-0.2126</v>
      </c>
      <c r="R16" s="34" t="n">
        <v>-0.0322</v>
      </c>
    </row>
    <row r="17" customFormat="false" ht="15" hidden="false" customHeight="false" outlineLevel="0" collapsed="false">
      <c r="A17" s="23" t="s">
        <v>148</v>
      </c>
      <c r="B17" s="35" t="n">
        <f aca="false">K8</f>
        <v>0.0108</v>
      </c>
      <c r="C17" s="35" t="n">
        <f aca="false">K9</f>
        <v>0.0824</v>
      </c>
      <c r="D17" s="35" t="n">
        <f aca="false">K10</f>
        <v>0.0564</v>
      </c>
      <c r="E17" s="35" t="n">
        <f aca="false">K11</f>
        <v>0.1814</v>
      </c>
      <c r="F17" s="35" t="n">
        <f aca="false">K12</f>
        <v>-0.5416</v>
      </c>
      <c r="G17" s="35" t="n">
        <f aca="false">K13</f>
        <v>-0.0395</v>
      </c>
      <c r="H17" s="35" t="n">
        <f aca="false">K14</f>
        <v>0.1264</v>
      </c>
      <c r="I17" s="35" t="n">
        <f aca="false">K15</f>
        <v>-0.1157</v>
      </c>
      <c r="J17" s="35" t="n">
        <f aca="false">K16</f>
        <v>-0.2884</v>
      </c>
      <c r="K17" s="34" t="n">
        <v>1</v>
      </c>
      <c r="L17" s="34" t="n">
        <v>0.1794</v>
      </c>
      <c r="M17" s="34" t="n">
        <v>0.406</v>
      </c>
      <c r="N17" s="34" t="n">
        <v>0.1753</v>
      </c>
      <c r="O17" s="34" t="n">
        <v>-0.056</v>
      </c>
      <c r="P17" s="34" t="n">
        <v>0.4322</v>
      </c>
      <c r="Q17" s="34" t="n">
        <v>0.5642</v>
      </c>
      <c r="R17" s="34" t="n">
        <v>-0.1036</v>
      </c>
    </row>
    <row r="18" customFormat="false" ht="15" hidden="false" customHeight="false" outlineLevel="0" collapsed="false">
      <c r="A18" s="23" t="s">
        <v>149</v>
      </c>
      <c r="B18" s="35" t="n">
        <f aca="false">L8</f>
        <v>0.2678</v>
      </c>
      <c r="C18" s="35" t="n">
        <f aca="false">L9</f>
        <v>-0.1214</v>
      </c>
      <c r="D18" s="35" t="n">
        <f aca="false">L10</f>
        <v>0.073</v>
      </c>
      <c r="E18" s="35" t="n">
        <f aca="false">L11</f>
        <v>0.0184</v>
      </c>
      <c r="F18" s="35" t="n">
        <f aca="false">L12</f>
        <v>-0.3832</v>
      </c>
      <c r="G18" s="35" t="n">
        <f aca="false">L13</f>
        <v>-0.5302</v>
      </c>
      <c r="H18" s="35" t="n">
        <f aca="false">L14</f>
        <v>0.0825</v>
      </c>
      <c r="I18" s="35" t="n">
        <f aca="false">L15</f>
        <v>-0.1857</v>
      </c>
      <c r="J18" s="35" t="n">
        <f aca="false">L16</f>
        <v>-0.2951</v>
      </c>
      <c r="K18" s="35" t="n">
        <f aca="false">L17</f>
        <v>0.1794</v>
      </c>
      <c r="L18" s="34" t="n">
        <v>1</v>
      </c>
      <c r="M18" s="34" t="n">
        <v>0.0531</v>
      </c>
      <c r="N18" s="34" t="n">
        <v>0.6782</v>
      </c>
      <c r="O18" s="34" t="n">
        <v>-0.1539</v>
      </c>
      <c r="P18" s="34" t="n">
        <v>-0.0446</v>
      </c>
      <c r="Q18" s="34" t="n">
        <v>-0.1839</v>
      </c>
      <c r="R18" s="34" t="n">
        <v>0.3039</v>
      </c>
    </row>
    <row r="19" customFormat="false" ht="15" hidden="false" customHeight="false" outlineLevel="0" collapsed="false">
      <c r="A19" s="23" t="s">
        <v>150</v>
      </c>
      <c r="B19" s="35" t="n">
        <f aca="false">M8</f>
        <v>-0.1705</v>
      </c>
      <c r="C19" s="35" t="n">
        <f aca="false">M9</f>
        <v>0.2212</v>
      </c>
      <c r="D19" s="35" t="n">
        <f aca="false">M10</f>
        <v>-0.0049</v>
      </c>
      <c r="E19" s="35" t="n">
        <f aca="false">M11</f>
        <v>0.5596</v>
      </c>
      <c r="F19" s="35" t="n">
        <f aca="false">M12</f>
        <v>0.132</v>
      </c>
      <c r="G19" s="35" t="n">
        <f aca="false">M13</f>
        <v>0.3898</v>
      </c>
      <c r="H19" s="35" t="n">
        <f aca="false">M14</f>
        <v>-0.0786</v>
      </c>
      <c r="I19" s="35" t="n">
        <f aca="false">M15</f>
        <v>-0.4839</v>
      </c>
      <c r="J19" s="35" t="n">
        <f aca="false">M16</f>
        <v>0.2257</v>
      </c>
      <c r="K19" s="35" t="n">
        <f aca="false">M17</f>
        <v>0.406</v>
      </c>
      <c r="L19" s="35" t="n">
        <f aca="false">M18</f>
        <v>0.0531</v>
      </c>
      <c r="M19" s="34" t="n">
        <v>1</v>
      </c>
      <c r="N19" s="34" t="n">
        <v>0.5131</v>
      </c>
      <c r="O19" s="34" t="n">
        <v>-0.0489</v>
      </c>
      <c r="P19" s="34" t="n">
        <v>0.2637</v>
      </c>
      <c r="Q19" s="34" t="n">
        <v>0.3745</v>
      </c>
      <c r="R19" s="34" t="n">
        <v>-0.119</v>
      </c>
    </row>
    <row r="20" customFormat="false" ht="15" hidden="false" customHeight="false" outlineLevel="0" collapsed="false">
      <c r="A20" s="23" t="s">
        <v>151</v>
      </c>
      <c r="B20" s="35" t="n">
        <f aca="false">N8</f>
        <v>0.2056</v>
      </c>
      <c r="C20" s="35" t="n">
        <f aca="false">N9</f>
        <v>0.0493</v>
      </c>
      <c r="D20" s="35" t="n">
        <f aca="false">N10</f>
        <v>-0.1335</v>
      </c>
      <c r="E20" s="35" t="n">
        <f aca="false">N11</f>
        <v>0.3411</v>
      </c>
      <c r="F20" s="35" t="n">
        <f aca="false">N12</f>
        <v>-0.0308</v>
      </c>
      <c r="G20" s="35" t="n">
        <f aca="false">N13</f>
        <v>-0.0872</v>
      </c>
      <c r="H20" s="35" t="n">
        <f aca="false">N14</f>
        <v>-0.0307</v>
      </c>
      <c r="I20" s="35" t="n">
        <f aca="false">N15</f>
        <v>-0.5382</v>
      </c>
      <c r="J20" s="35" t="n">
        <f aca="false">N16</f>
        <v>-0.0048</v>
      </c>
      <c r="K20" s="35" t="n">
        <f aca="false">N17</f>
        <v>0.1753</v>
      </c>
      <c r="L20" s="35" t="n">
        <f aca="false">N18</f>
        <v>0.6782</v>
      </c>
      <c r="M20" s="35" t="n">
        <f aca="false">N19</f>
        <v>0.5131</v>
      </c>
      <c r="N20" s="34" t="n">
        <v>1</v>
      </c>
      <c r="O20" s="34" t="n">
        <v>-0.2509</v>
      </c>
      <c r="P20" s="34" t="n">
        <v>-0.073</v>
      </c>
      <c r="Q20" s="34" t="n">
        <v>-0.1236</v>
      </c>
      <c r="R20" s="34" t="n">
        <v>0.109</v>
      </c>
    </row>
    <row r="21" customFormat="false" ht="15" hidden="false" customHeight="false" outlineLevel="0" collapsed="false">
      <c r="A21" s="23" t="s">
        <v>152</v>
      </c>
      <c r="B21" s="35" t="n">
        <f aca="false">O8</f>
        <v>-0.8273</v>
      </c>
      <c r="C21" s="35" t="n">
        <f aca="false">O9</f>
        <v>0.0059</v>
      </c>
      <c r="D21" s="35" t="n">
        <f aca="false">O10</f>
        <v>0.5286</v>
      </c>
      <c r="E21" s="35" t="n">
        <f aca="false">O11</f>
        <v>0.1136</v>
      </c>
      <c r="F21" s="35" t="n">
        <f aca="false">O12</f>
        <v>-0.0671</v>
      </c>
      <c r="G21" s="35" t="n">
        <f aca="false">O13</f>
        <v>0.0715</v>
      </c>
      <c r="H21" s="35" t="n">
        <f aca="false">O14</f>
        <v>0.7882</v>
      </c>
      <c r="I21" s="35" t="n">
        <f aca="false">O15</f>
        <v>0.7328</v>
      </c>
      <c r="J21" s="35" t="n">
        <f aca="false">O16</f>
        <v>-0.0679</v>
      </c>
      <c r="K21" s="35" t="n">
        <f aca="false">O17</f>
        <v>-0.056</v>
      </c>
      <c r="L21" s="35" t="n">
        <f aca="false">O18</f>
        <v>-0.1539</v>
      </c>
      <c r="M21" s="35" t="n">
        <f aca="false">O19</f>
        <v>-0.0489</v>
      </c>
      <c r="N21" s="35" t="n">
        <f aca="false">O20</f>
        <v>-0.2509</v>
      </c>
      <c r="O21" s="34" t="n">
        <v>1</v>
      </c>
      <c r="P21" s="34" t="n">
        <v>-0.0252</v>
      </c>
      <c r="Q21" s="34" t="n">
        <v>0.0589</v>
      </c>
      <c r="R21" s="34" t="n">
        <v>-0.1899</v>
      </c>
    </row>
    <row r="22" customFormat="false" ht="15" hidden="false" customHeight="false" outlineLevel="0" collapsed="false">
      <c r="A22" s="23" t="s">
        <v>153</v>
      </c>
      <c r="B22" s="35" t="n">
        <f aca="false">P8</f>
        <v>0.0874</v>
      </c>
      <c r="C22" s="35" t="n">
        <f aca="false">P9</f>
        <v>-0.0598</v>
      </c>
      <c r="D22" s="35" t="n">
        <f aca="false">P10</f>
        <v>-0.0342</v>
      </c>
      <c r="E22" s="35" t="n">
        <f aca="false">P11</f>
        <v>-0.0407</v>
      </c>
      <c r="F22" s="35" t="n">
        <f aca="false">P12</f>
        <v>-0.3089</v>
      </c>
      <c r="G22" s="35" t="n">
        <f aca="false">P13</f>
        <v>-0.1123</v>
      </c>
      <c r="H22" s="35" t="n">
        <f aca="false">P14</f>
        <v>-0.1625</v>
      </c>
      <c r="I22" s="35" t="n">
        <f aca="false">P15</f>
        <v>0.0029</v>
      </c>
      <c r="J22" s="35" t="n">
        <f aca="false">P16</f>
        <v>-0.1916</v>
      </c>
      <c r="K22" s="35" t="n">
        <f aca="false">P17</f>
        <v>0.4322</v>
      </c>
      <c r="L22" s="35" t="n">
        <f aca="false">P18</f>
        <v>-0.0446</v>
      </c>
      <c r="M22" s="35" t="n">
        <f aca="false">P19</f>
        <v>0.2637</v>
      </c>
      <c r="N22" s="35" t="n">
        <f aca="false">P20</f>
        <v>-0.073</v>
      </c>
      <c r="O22" s="35" t="n">
        <f aca="false">P21</f>
        <v>-0.0252</v>
      </c>
      <c r="P22" s="34" t="n">
        <v>1</v>
      </c>
      <c r="Q22" s="34" t="n">
        <v>0.9262</v>
      </c>
      <c r="R22" s="34" t="n">
        <v>0.5548</v>
      </c>
    </row>
    <row r="23" customFormat="false" ht="15" hidden="false" customHeight="false" outlineLevel="0" collapsed="false">
      <c r="A23" s="23" t="s">
        <v>154</v>
      </c>
      <c r="B23" s="35" t="n">
        <f aca="false">Q8</f>
        <v>0.0074</v>
      </c>
      <c r="C23" s="35" t="n">
        <f aca="false">Q9</f>
        <v>-0.0638</v>
      </c>
      <c r="D23" s="35" t="n">
        <f aca="false">Q10</f>
        <v>-0.0122</v>
      </c>
      <c r="E23" s="35" t="n">
        <f aca="false">Q11</f>
        <v>0.0368</v>
      </c>
      <c r="F23" s="35" t="n">
        <f aca="false">Q12</f>
        <v>-0.3216</v>
      </c>
      <c r="G23" s="35" t="n">
        <f aca="false">Q13</f>
        <v>-0.0204</v>
      </c>
      <c r="H23" s="35" t="n">
        <f aca="false">Q14</f>
        <v>-0.0501</v>
      </c>
      <c r="I23" s="35" t="n">
        <f aca="false">Q15</f>
        <v>-0.0186</v>
      </c>
      <c r="J23" s="35" t="n">
        <f aca="false">Q16</f>
        <v>-0.2126</v>
      </c>
      <c r="K23" s="35" t="n">
        <f aca="false">Q17</f>
        <v>0.5642</v>
      </c>
      <c r="L23" s="35" t="n">
        <f aca="false">Q18</f>
        <v>-0.1839</v>
      </c>
      <c r="M23" s="35" t="n">
        <f aca="false">Q19</f>
        <v>0.3745</v>
      </c>
      <c r="N23" s="35" t="n">
        <f aca="false">Q20</f>
        <v>-0.1236</v>
      </c>
      <c r="O23" s="35" t="n">
        <f aca="false">Q21</f>
        <v>0.0589</v>
      </c>
      <c r="P23" s="35" t="n">
        <f aca="false">Q22</f>
        <v>0.9262</v>
      </c>
      <c r="Q23" s="34" t="n">
        <v>1</v>
      </c>
      <c r="R23" s="34" t="n">
        <v>0.2022</v>
      </c>
    </row>
    <row r="24" customFormat="false" ht="15" hidden="false" customHeight="false" outlineLevel="0" collapsed="false">
      <c r="A24" s="23" t="s">
        <v>155</v>
      </c>
      <c r="B24" s="35" t="n">
        <f aca="false">R8</f>
        <v>0.2087</v>
      </c>
      <c r="C24" s="35" t="n">
        <f aca="false">R9</f>
        <v>-0.0351</v>
      </c>
      <c r="D24" s="35" t="n">
        <f aca="false">R10</f>
        <v>-0.0557</v>
      </c>
      <c r="E24" s="35" t="n">
        <f aca="false">R11</f>
        <v>-0.1773</v>
      </c>
      <c r="F24" s="35" t="n">
        <f aca="false">R12</f>
        <v>-0.1072</v>
      </c>
      <c r="G24" s="35" t="n">
        <f aca="false">R13</f>
        <v>-0.2553</v>
      </c>
      <c r="H24" s="35" t="n">
        <f aca="false">R14</f>
        <v>-0.3077</v>
      </c>
      <c r="I24" s="35" t="n">
        <f aca="false">R15</f>
        <v>0.0393</v>
      </c>
      <c r="J24" s="35" t="n">
        <f aca="false">R16</f>
        <v>-0.0322</v>
      </c>
      <c r="K24" s="35" t="n">
        <f aca="false">R17</f>
        <v>-0.1036</v>
      </c>
      <c r="L24" s="35" t="n">
        <f aca="false">R18</f>
        <v>0.3039</v>
      </c>
      <c r="M24" s="35" t="n">
        <f aca="false">R19</f>
        <v>-0.119</v>
      </c>
      <c r="N24" s="35" t="n">
        <f aca="false">R20</f>
        <v>0.109</v>
      </c>
      <c r="O24" s="35" t="n">
        <f aca="false">R21</f>
        <v>-0.1899</v>
      </c>
      <c r="P24" s="35" t="n">
        <f aca="false">R22</f>
        <v>0.5548</v>
      </c>
      <c r="Q24" s="35" t="n">
        <f aca="false">R23</f>
        <v>0.2022</v>
      </c>
      <c r="R24" s="34" t="n">
        <v>1</v>
      </c>
    </row>
    <row r="26" customFormat="false" ht="15" hidden="false" customHeight="false" outlineLevel="0" collapsed="false">
      <c r="A26" s="22" t="s">
        <v>156</v>
      </c>
    </row>
    <row r="28" customFormat="false" ht="15" hidden="false" customHeight="false" outlineLevel="0" collapsed="false">
      <c r="A28" s="2" t="s">
        <v>157</v>
      </c>
    </row>
    <row r="29" customFormat="false" ht="15" hidden="false" customHeight="false" outlineLevel="0" collapsed="false">
      <c r="A29" s="23" t="s">
        <v>158</v>
      </c>
      <c r="B29" s="23" t="s">
        <v>159</v>
      </c>
      <c r="C29" s="23" t="s">
        <v>160</v>
      </c>
      <c r="D29" s="23" t="s">
        <v>161</v>
      </c>
      <c r="E29" s="23" t="s">
        <v>160</v>
      </c>
      <c r="F29" s="23" t="s">
        <v>162</v>
      </c>
      <c r="G29" s="23" t="s">
        <v>160</v>
      </c>
    </row>
    <row r="30" customFormat="false" ht="15" hidden="false" customHeight="false" outlineLevel="0" collapsed="false">
      <c r="A30" s="24" t="s">
        <v>148</v>
      </c>
      <c r="B30" s="36" t="n">
        <f aca="false">P17</f>
        <v>0.4322</v>
      </c>
      <c r="C30" s="36" t="n">
        <f aca="false">TDIST(ABS(B30)*SQRT(($B$3-2)/(1-B30^2)),$B$3-2,2)</f>
        <v>0.0309569594862792</v>
      </c>
      <c r="D30" s="36" t="n">
        <f aca="false">Q17</f>
        <v>0.5642</v>
      </c>
      <c r="E30" s="36" t="n">
        <f aca="false">TDIST(ABS(D30)*SQRT(($B$3-2)/(1-D30^2)),$B$3-2,2)</f>
        <v>0.00330641369156152</v>
      </c>
      <c r="F30" s="36" t="n">
        <f aca="false">R17</f>
        <v>-0.1036</v>
      </c>
      <c r="G30" s="36" t="n">
        <f aca="false">TDIST(ABS(F30)*SQRT(($B$3-2)/(1-F30^2)),$B$3-2,2)</f>
        <v>0.622146885017654</v>
      </c>
    </row>
    <row r="31" customFormat="false" ht="15" hidden="false" customHeight="false" outlineLevel="0" collapsed="false">
      <c r="A31" s="24" t="s">
        <v>143</v>
      </c>
      <c r="B31" s="36" t="n">
        <f aca="false">P12</f>
        <v>-0.3089</v>
      </c>
      <c r="C31" s="36" t="n">
        <f aca="false">TDIST(ABS(B31)*SQRT(($B$3-2)/(1-B31^2)),$B$3-2,2)</f>
        <v>0.132980815789775</v>
      </c>
      <c r="D31" s="36" t="n">
        <f aca="false">Q12</f>
        <v>-0.3216</v>
      </c>
      <c r="E31" s="36" t="n">
        <f aca="false">TDIST(ABS(D31)*SQRT(($B$3-2)/(1-D31^2)),$B$3-2,2)</f>
        <v>0.116961760804553</v>
      </c>
      <c r="F31" s="36" t="n">
        <f aca="false">R12</f>
        <v>-0.1072</v>
      </c>
      <c r="G31" s="36" t="n">
        <f aca="false">TDIST(ABS(F31)*SQRT(($B$3-2)/(1-F31^2)),$B$3-2,2)</f>
        <v>0.610028599723514</v>
      </c>
    </row>
    <row r="32" customFormat="false" ht="15" hidden="false" customHeight="false" outlineLevel="0" collapsed="false">
      <c r="A32" s="24" t="s">
        <v>150</v>
      </c>
      <c r="B32" s="36" t="n">
        <f aca="false">P19</f>
        <v>0.2637</v>
      </c>
      <c r="C32" s="36" t="n">
        <f aca="false">TDIST(ABS(B32)*SQRT(($B$3-2)/(1-B32^2)),$B$3-2,2)</f>
        <v>0.202774915519456</v>
      </c>
      <c r="D32" s="36" t="n">
        <f aca="false">Q19</f>
        <v>0.3745</v>
      </c>
      <c r="E32" s="36" t="n">
        <f aca="false">TDIST(ABS(D32)*SQRT(($B$3-2)/(1-D32^2)),$B$3-2,2)</f>
        <v>0.0651232665014652</v>
      </c>
      <c r="F32" s="36" t="n">
        <f aca="false">R19</f>
        <v>-0.119</v>
      </c>
      <c r="G32" s="36" t="n">
        <f aca="false">TDIST(ABS(F32)*SQRT(($B$3-2)/(1-F32^2)),$B$3-2,2)</f>
        <v>0.571014708171372</v>
      </c>
    </row>
    <row r="33" customFormat="false" ht="15" hidden="false" customHeight="false" outlineLevel="0" collapsed="false">
      <c r="A33" s="24" t="s">
        <v>147</v>
      </c>
      <c r="B33" s="36" t="n">
        <f aca="false">P16</f>
        <v>-0.1916</v>
      </c>
      <c r="C33" s="36" t="n">
        <f aca="false">TDIST(ABS(B33)*SQRT(($B$3-2)/(1-B33^2)),$B$3-2,2)</f>
        <v>0.358883562783001</v>
      </c>
      <c r="D33" s="36" t="n">
        <f aca="false">Q16</f>
        <v>-0.2126</v>
      </c>
      <c r="E33" s="36" t="n">
        <f aca="false">TDIST(ABS(D33)*SQRT(($B$3-2)/(1-D33^2)),$B$3-2,2)</f>
        <v>0.307584911668103</v>
      </c>
      <c r="F33" s="36" t="n">
        <f aca="false">R16</f>
        <v>-0.0322</v>
      </c>
      <c r="G33" s="36" t="n">
        <f aca="false">TDIST(ABS(F33)*SQRT(($B$3-2)/(1-F33^2)),$B$3-2,2)</f>
        <v>0.878558670805961</v>
      </c>
    </row>
    <row r="34" customFormat="false" ht="15" hidden="false" customHeight="false" outlineLevel="0" collapsed="false">
      <c r="A34" s="24" t="s">
        <v>145</v>
      </c>
      <c r="B34" s="36" t="n">
        <f aca="false">P14</f>
        <v>-0.1625</v>
      </c>
      <c r="C34" s="36" t="n">
        <f aca="false">TDIST(ABS(B34)*SQRT(($B$3-2)/(1-B34^2)),$B$3-2,2)</f>
        <v>0.437700160889596</v>
      </c>
      <c r="D34" s="36" t="n">
        <f aca="false">Q14</f>
        <v>-0.0501</v>
      </c>
      <c r="E34" s="36" t="n">
        <f aca="false">TDIST(ABS(D34)*SQRT(($B$3-2)/(1-D34^2)),$B$3-2,2)</f>
        <v>0.812017317878141</v>
      </c>
      <c r="F34" s="36" t="n">
        <f aca="false">R14</f>
        <v>-0.3077</v>
      </c>
      <c r="G34" s="36" t="n">
        <f aca="false">TDIST(ABS(F34)*SQRT(($B$3-2)/(1-F34^2)),$B$3-2,2)</f>
        <v>0.134572403029267</v>
      </c>
    </row>
    <row r="35" customFormat="false" ht="15" hidden="false" customHeight="false" outlineLevel="0" collapsed="false">
      <c r="A35" s="24" t="s">
        <v>144</v>
      </c>
      <c r="B35" s="36" t="n">
        <f aca="false">P13</f>
        <v>-0.1123</v>
      </c>
      <c r="C35" s="36" t="n">
        <f aca="false">TDIST(ABS(B35)*SQRT(($B$3-2)/(1-B35^2)),$B$3-2,2)</f>
        <v>0.593031012094003</v>
      </c>
      <c r="D35" s="36" t="n">
        <f aca="false">Q13</f>
        <v>-0.0204</v>
      </c>
      <c r="E35" s="36" t="n">
        <f aca="false">TDIST(ABS(D35)*SQRT(($B$3-2)/(1-D35^2)),$B$3-2,2)</f>
        <v>0.922894962581575</v>
      </c>
      <c r="F35" s="36" t="n">
        <f aca="false">R13</f>
        <v>-0.2553</v>
      </c>
      <c r="G35" s="36" t="n">
        <f aca="false">TDIST(ABS(F35)*SQRT(($B$3-2)/(1-F35^2)),$B$3-2,2)</f>
        <v>0.218067074702294</v>
      </c>
    </row>
    <row r="36" customFormat="false" ht="15" hidden="false" customHeight="false" outlineLevel="0" collapsed="false">
      <c r="A36" s="24" t="s">
        <v>139</v>
      </c>
      <c r="B36" s="36" t="n">
        <f aca="false">P8</f>
        <v>0.0874</v>
      </c>
      <c r="C36" s="36" t="n">
        <f aca="false">TDIST(ABS(B36)*SQRT(($B$3-2)/(1-B36^2)),$B$3-2,2)</f>
        <v>0.677831709162163</v>
      </c>
      <c r="D36" s="36" t="n">
        <f aca="false">Q8</f>
        <v>0.0074</v>
      </c>
      <c r="E36" s="36" t="n">
        <f aca="false">TDIST(ABS(D36)*SQRT(($B$3-2)/(1-D36^2)),$B$3-2,2)</f>
        <v>0.971995143020204</v>
      </c>
      <c r="F36" s="36" t="n">
        <f aca="false">R8</f>
        <v>0.2087</v>
      </c>
      <c r="G36" s="36" t="n">
        <f aca="false">TDIST(ABS(F36)*SQRT(($B$3-2)/(1-F36^2)),$B$3-2,2)</f>
        <v>0.316750810775794</v>
      </c>
    </row>
    <row r="37" customFormat="false" ht="15" hidden="false" customHeight="false" outlineLevel="0" collapsed="false">
      <c r="A37" s="24" t="s">
        <v>151</v>
      </c>
      <c r="B37" s="36" t="n">
        <f aca="false">P20</f>
        <v>-0.073</v>
      </c>
      <c r="C37" s="36" t="n">
        <f aca="false">TDIST(ABS(B37)*SQRT(($B$3-2)/(1-B37^2)),$B$3-2,2)</f>
        <v>0.728759212315053</v>
      </c>
      <c r="D37" s="36" t="n">
        <f aca="false">Q20</f>
        <v>-0.1236</v>
      </c>
      <c r="E37" s="36" t="n">
        <f aca="false">TDIST(ABS(D37)*SQRT(($B$3-2)/(1-D37^2)),$B$3-2,2)</f>
        <v>0.556112776515998</v>
      </c>
      <c r="F37" s="36" t="n">
        <f aca="false">R20</f>
        <v>0.109</v>
      </c>
      <c r="G37" s="36" t="n">
        <f aca="false">TDIST(ABS(F37)*SQRT(($B$3-2)/(1-F37^2)),$B$3-2,2)</f>
        <v>0.604006399955342</v>
      </c>
    </row>
    <row r="38" customFormat="false" ht="15" hidden="false" customHeight="false" outlineLevel="0" collapsed="false">
      <c r="A38" s="24" t="s">
        <v>140</v>
      </c>
      <c r="B38" s="36" t="n">
        <f aca="false">P9</f>
        <v>-0.0598</v>
      </c>
      <c r="C38" s="36" t="n">
        <f aca="false">TDIST(ABS(B38)*SQRT(($B$3-2)/(1-B38^2)),$B$3-2,2)</f>
        <v>0.776451502687796</v>
      </c>
      <c r="D38" s="36" t="n">
        <f aca="false">Q9</f>
        <v>-0.0638</v>
      </c>
      <c r="E38" s="36" t="n">
        <f aca="false">TDIST(ABS(D38)*SQRT(($B$3-2)/(1-D38^2)),$B$3-2,2)</f>
        <v>0.761907304807088</v>
      </c>
      <c r="F38" s="36" t="n">
        <f aca="false">R9</f>
        <v>-0.0351</v>
      </c>
      <c r="G38" s="36" t="n">
        <f aca="false">TDIST(ABS(F38)*SQRT(($B$3-2)/(1-F38^2)),$B$3-2,2)</f>
        <v>0.867711578944148</v>
      </c>
    </row>
    <row r="39" customFormat="false" ht="15" hidden="false" customHeight="false" outlineLevel="0" collapsed="false">
      <c r="A39" s="24" t="s">
        <v>149</v>
      </c>
      <c r="B39" s="36" t="n">
        <f aca="false">P18</f>
        <v>-0.0446</v>
      </c>
      <c r="C39" s="36" t="n">
        <f aca="false">TDIST(ABS(B39)*SQRT(($B$3-2)/(1-B39^2)),$B$3-2,2)</f>
        <v>0.832350306818627</v>
      </c>
      <c r="D39" s="36" t="n">
        <f aca="false">Q18</f>
        <v>-0.1839</v>
      </c>
      <c r="E39" s="36" t="n">
        <f aca="false">TDIST(ABS(D39)*SQRT(($B$3-2)/(1-D39^2)),$B$3-2,2)</f>
        <v>0.378878655658869</v>
      </c>
      <c r="F39" s="36" t="n">
        <f aca="false">R18</f>
        <v>0.3039</v>
      </c>
      <c r="G39" s="36" t="n">
        <f aca="false">TDIST(ABS(F39)*SQRT(($B$3-2)/(1-F39^2)),$B$3-2,2)</f>
        <v>0.13970299706645</v>
      </c>
    </row>
    <row r="40" customFormat="false" ht="15" hidden="false" customHeight="false" outlineLevel="0" collapsed="false">
      <c r="A40" s="24" t="s">
        <v>142</v>
      </c>
      <c r="B40" s="36" t="n">
        <f aca="false">P11</f>
        <v>-0.0407</v>
      </c>
      <c r="C40" s="36" t="n">
        <f aca="false">TDIST(ABS(B40)*SQRT(($B$3-2)/(1-B40^2)),$B$3-2,2)</f>
        <v>0.846832736376157</v>
      </c>
      <c r="D40" s="36" t="n">
        <f aca="false">Q11</f>
        <v>0.0368</v>
      </c>
      <c r="E40" s="36" t="n">
        <f aca="false">TDIST(ABS(D40)*SQRT(($B$3-2)/(1-D40^2)),$B$3-2,2)</f>
        <v>0.861363600637351</v>
      </c>
      <c r="F40" s="36" t="n">
        <f aca="false">R11</f>
        <v>-0.1773</v>
      </c>
      <c r="G40" s="36" t="n">
        <f aca="false">TDIST(ABS(F40)*SQRT(($B$3-2)/(1-F40^2)),$B$3-2,2)</f>
        <v>0.396515034178248</v>
      </c>
    </row>
    <row r="41" customFormat="false" ht="15" hidden="false" customHeight="false" outlineLevel="0" collapsed="false">
      <c r="A41" s="24" t="s">
        <v>141</v>
      </c>
      <c r="B41" s="36" t="n">
        <f aca="false">P10</f>
        <v>-0.0342</v>
      </c>
      <c r="C41" s="36" t="n">
        <f aca="false">TDIST(ABS(B41)*SQRT(($B$3-2)/(1-B41^2)),$B$3-2,2)</f>
        <v>0.871075523592074</v>
      </c>
      <c r="D41" s="36" t="n">
        <f aca="false">Q10</f>
        <v>-0.0122</v>
      </c>
      <c r="E41" s="36" t="n">
        <f aca="false">TDIST(ABS(D41)*SQRT(($B$3-2)/(1-D41^2)),$B$3-2,2)</f>
        <v>0.953845027391557</v>
      </c>
      <c r="F41" s="36" t="n">
        <f aca="false">R10</f>
        <v>-0.0557</v>
      </c>
      <c r="G41" s="36" t="n">
        <f aca="false">TDIST(ABS(F41)*SQRT(($B$3-2)/(1-F41^2)),$B$3-2,2)</f>
        <v>0.791435549372197</v>
      </c>
    </row>
    <row r="42" customFormat="false" ht="15" hidden="false" customHeight="false" outlineLevel="0" collapsed="false">
      <c r="A42" s="24" t="s">
        <v>152</v>
      </c>
      <c r="B42" s="36" t="n">
        <f aca="false">P21</f>
        <v>-0.0252</v>
      </c>
      <c r="C42" s="36" t="n">
        <f aca="false">TDIST(ABS(B42)*SQRT(($B$3-2)/(1-B42^2)),$B$3-2,2)</f>
        <v>0.904825455705135</v>
      </c>
      <c r="D42" s="36" t="n">
        <f aca="false">Q21</f>
        <v>0.0589</v>
      </c>
      <c r="E42" s="36" t="n">
        <f aca="false">TDIST(ABS(D42)*SQRT(($B$3-2)/(1-D42^2)),$B$3-2,2)</f>
        <v>0.779734240256879</v>
      </c>
      <c r="F42" s="36" t="n">
        <f aca="false">R21</f>
        <v>-0.1899</v>
      </c>
      <c r="G42" s="36" t="n">
        <f aca="false">TDIST(ABS(F42)*SQRT(($B$3-2)/(1-F42^2)),$B$3-2,2)</f>
        <v>0.363243880165944</v>
      </c>
    </row>
    <row r="43" customFormat="false" ht="15" hidden="false" customHeight="false" outlineLevel="0" collapsed="false">
      <c r="A43" s="24" t="s">
        <v>146</v>
      </c>
      <c r="B43" s="36" t="n">
        <f aca="false">P15</f>
        <v>0.0029</v>
      </c>
      <c r="C43" s="36" t="n">
        <f aca="false">TDIST(ABS(B43)*SQRT(($B$3-2)/(1-B43^2)),$B$3-2,2)</f>
        <v>0.98902334319604</v>
      </c>
      <c r="D43" s="36" t="n">
        <f aca="false">Q15</f>
        <v>-0.0186</v>
      </c>
      <c r="E43" s="36" t="n">
        <f aca="false">TDIST(ABS(D43)*SQRT(($B$3-2)/(1-D43^2)),$B$3-2,2)</f>
        <v>0.92968108748322</v>
      </c>
      <c r="F43" s="36" t="n">
        <f aca="false">R15</f>
        <v>0.0393</v>
      </c>
      <c r="G43" s="36" t="n">
        <f aca="false">TDIST(ABS(F43)*SQRT(($B$3-2)/(1-F43^2)),$B$3-2,2)</f>
        <v>0.852043605830984</v>
      </c>
    </row>
    <row r="44" customFormat="false" ht="15" hidden="false" customHeight="false" outlineLevel="0" collapsed="false">
      <c r="A44" s="24" t="s">
        <v>154</v>
      </c>
      <c r="B44" s="36" t="n">
        <f aca="false">P23</f>
        <v>0.9262</v>
      </c>
      <c r="C44" s="36" t="n">
        <f aca="false">TDIST(ABS(B44)*SQRT(($B$3-2)/(1-B44^2)),$B$3-2,2)</f>
        <v>3.18808505253131E-011</v>
      </c>
      <c r="D44" s="37"/>
      <c r="E44" s="37"/>
      <c r="F44" s="36" t="n">
        <f aca="false">R23</f>
        <v>0.2022</v>
      </c>
      <c r="G44" s="36" t="n">
        <f aca="false">TDIST(ABS(F44)*SQRT(($B$3-2)/(1-F44^2)),$B$3-2,2)</f>
        <v>0.332394351256456</v>
      </c>
    </row>
    <row r="45" customFormat="false" ht="15" hidden="false" customHeight="false" outlineLevel="0" collapsed="false">
      <c r="A45" s="24" t="s">
        <v>155</v>
      </c>
      <c r="B45" s="36" t="n">
        <f aca="false">P24</f>
        <v>0.5548</v>
      </c>
      <c r="C45" s="36" t="n">
        <f aca="false">TDIST(ABS(B45)*SQRT(($B$3-2)/(1-B45^2)),$B$3-2,2)</f>
        <v>0.00399723457450076</v>
      </c>
      <c r="D45" s="36" t="n">
        <f aca="false">Q24</f>
        <v>0.2022</v>
      </c>
      <c r="E45" s="36" t="n">
        <f aca="false">TDIST(ABS(D45)*SQRT(($B$3-2)/(1-D45^2)),$B$3-2,2)</f>
        <v>0.332394351256456</v>
      </c>
      <c r="F45" s="37"/>
      <c r="G45" s="37"/>
    </row>
    <row r="46" customFormat="false" ht="15" hidden="false" customHeight="false" outlineLevel="0" collapsed="false">
      <c r="A46" s="22" t="s">
        <v>163</v>
      </c>
    </row>
    <row r="48" customFormat="false" ht="15" hidden="false" customHeight="false" outlineLevel="0" collapsed="false">
      <c r="A48" s="2" t="s">
        <v>164</v>
      </c>
    </row>
    <row r="49" customFormat="false" ht="15" hidden="false" customHeight="false" outlineLevel="0" collapsed="false">
      <c r="A49" s="23" t="s">
        <v>165</v>
      </c>
      <c r="B49" s="23" t="s">
        <v>166</v>
      </c>
      <c r="C49" s="23" t="s">
        <v>167</v>
      </c>
      <c r="D49" s="23" t="s">
        <v>168</v>
      </c>
    </row>
    <row r="50" customFormat="false" ht="15" hidden="false" customHeight="false" outlineLevel="0" collapsed="false">
      <c r="A50" s="24" t="s">
        <v>169</v>
      </c>
      <c r="B50" s="36" t="n">
        <f aca="false">Q22</f>
        <v>0.9262</v>
      </c>
      <c r="C50" s="36" t="n">
        <f aca="false">CORREL(Dados!F2:F27,Dados!G2:G27)</f>
        <v>0.922677170596831</v>
      </c>
      <c r="D50" s="36" t="n">
        <f aca="false">C50-B50</f>
        <v>-0.00352282940316906</v>
      </c>
    </row>
    <row r="51" customFormat="false" ht="15" hidden="false" customHeight="false" outlineLevel="0" collapsed="false">
      <c r="A51" s="24" t="s">
        <v>170</v>
      </c>
      <c r="B51" s="36" t="n">
        <f aca="false">R22</f>
        <v>0.5548</v>
      </c>
      <c r="C51" s="36" t="n">
        <f aca="false">CORREL(Dados!F2:F27,Dados!H2:H27)</f>
        <v>0.539046768710232</v>
      </c>
      <c r="D51" s="36" t="n">
        <f aca="false">C51-B51</f>
        <v>-0.0157532312897678</v>
      </c>
    </row>
    <row r="52" customFormat="false" ht="15" hidden="false" customHeight="false" outlineLevel="0" collapsed="false">
      <c r="A52" s="24" t="s">
        <v>171</v>
      </c>
      <c r="B52" s="36" t="n">
        <f aca="false">R23</f>
        <v>0.2022</v>
      </c>
      <c r="C52" s="36" t="n">
        <f aca="false">CORREL(Dados!G2:G27,Dados!H2:H27)</f>
        <v>0.172606998841172</v>
      </c>
      <c r="D52" s="36" t="n">
        <f aca="false">C52-B52</f>
        <v>-0.0295930011588278</v>
      </c>
    </row>
    <row r="53" customFormat="false" ht="15" hidden="false" customHeight="false" outlineLevel="0" collapsed="false">
      <c r="A53" s="22" t="s">
        <v>172</v>
      </c>
    </row>
  </sheetData>
  <conditionalFormatting sqref="B8:R24">
    <cfRule type="colorScale" priority="2">
      <colorScale>
        <cfvo type="num" val="-1"/>
        <cfvo type="num" val="0"/>
        <cfvo type="num" val="1"/>
        <color rgb="FFC0504D"/>
        <color rgb="FFFFFFFF"/>
        <color rgb="FF4F81BD"/>
      </colorScale>
    </cfRule>
    <cfRule type="expression" priority="3" aboveAverage="0" equalAverage="0" bottom="0" percent="0" rank="0" text="" dxfId="0">
      <formula>AND(ABS(B8)&gt;=$B$4,ABS(B8)&lt;1)</formula>
    </cfRule>
  </conditionalFormatting>
  <conditionalFormatting sqref="C30:C45">
    <cfRule type="expression" priority="4" aboveAverage="0" equalAverage="0" bottom="0" percent="0" rank="0" text="" dxfId="1">
      <formula>AND(C30&lt;&gt;"",C30&lt;0.05)</formula>
    </cfRule>
  </conditionalFormatting>
  <conditionalFormatting sqref="E30:E45">
    <cfRule type="expression" priority="5" aboveAverage="0" equalAverage="0" bottom="0" percent="0" rank="0" text="" dxfId="1">
      <formula>AND(E30&lt;&gt;"",E30&lt;0.05)</formula>
    </cfRule>
  </conditionalFormatting>
  <conditionalFormatting sqref="G30:G45">
    <cfRule type="expression" priority="6" aboveAverage="0" equalAverage="0" bottom="0" percent="0" rank="0" text="" dxfId="1">
      <formula>AND(G30&lt;&gt;"",G30&lt;0.05)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4" min="14" style="0" width="70"/>
  </cols>
  <sheetData>
    <row r="1" customFormat="false" ht="16.15" hidden="false" customHeight="false" outlineLevel="0" collapsed="false">
      <c r="A1" s="1" t="s">
        <v>173</v>
      </c>
    </row>
    <row r="2" customFormat="false" ht="15" hidden="false" customHeight="false" outlineLevel="0" collapsed="false">
      <c r="A2" s="22" t="s">
        <v>174</v>
      </c>
    </row>
    <row r="4" customFormat="false" ht="15" hidden="false" customHeight="false" outlineLevel="0" collapsed="false">
      <c r="N4" s="2" t="s">
        <v>175</v>
      </c>
    </row>
    <row r="5" customFormat="false" ht="15" hidden="false" customHeight="false" outlineLevel="0" collapsed="false">
      <c r="N5" s="38" t="s">
        <v>176</v>
      </c>
    </row>
    <row r="6" customFormat="false" ht="15" hidden="false" customHeight="false" outlineLevel="0" collapsed="false">
      <c r="N6" s="39" t="s">
        <v>177</v>
      </c>
    </row>
    <row r="8" customFormat="false" ht="15" hidden="false" customHeight="false" outlineLevel="0" collapsed="false">
      <c r="N8" s="40" t="s">
        <v>178</v>
      </c>
    </row>
    <row r="9" customFormat="false" ht="15" hidden="false" customHeight="false" outlineLevel="0" collapsed="false">
      <c r="N9" s="39" t="s">
        <v>179</v>
      </c>
    </row>
    <row r="11" customFormat="false" ht="15" hidden="false" customHeight="false" outlineLevel="0" collapsed="false">
      <c r="N11" s="41" t="s">
        <v>180</v>
      </c>
    </row>
    <row r="12" customFormat="false" ht="15" hidden="false" customHeight="false" outlineLevel="0" collapsed="false">
      <c r="N12" s="39" t="s">
        <v>181</v>
      </c>
    </row>
    <row r="14" customFormat="false" ht="15" hidden="false" customHeight="false" outlineLevel="0" collapsed="false">
      <c r="N14" s="42" t="s">
        <v>182</v>
      </c>
    </row>
    <row r="15" customFormat="false" ht="15" hidden="false" customHeight="false" outlineLevel="0" collapsed="false">
      <c r="N15" s="39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80"/>
  </cols>
  <sheetData>
    <row r="1" customFormat="false" ht="16.15" hidden="false" customHeight="false" outlineLevel="0" collapsed="false">
      <c r="A1" s="1" t="s">
        <v>184</v>
      </c>
    </row>
    <row r="3" customFormat="false" ht="15" hidden="false" customHeight="false" outlineLevel="0" collapsed="false">
      <c r="A3" s="23" t="s">
        <v>185</v>
      </c>
      <c r="B3" s="23" t="s">
        <v>186</v>
      </c>
      <c r="C3" s="23" t="s">
        <v>187</v>
      </c>
      <c r="D3" s="23" t="s">
        <v>188</v>
      </c>
    </row>
    <row r="4" customFormat="false" ht="15" hidden="false" customHeight="false" outlineLevel="0" collapsed="false">
      <c r="A4" s="24" t="s">
        <v>189</v>
      </c>
      <c r="B4" s="43" t="n">
        <v>9.9</v>
      </c>
      <c r="C4" s="26" t="n">
        <f aca="false">Estatística!G5</f>
        <v>9.92307692307692</v>
      </c>
      <c r="D4" s="24" t="s">
        <v>190</v>
      </c>
    </row>
    <row r="5" customFormat="false" ht="15" hidden="false" customHeight="false" outlineLevel="0" collapsed="false">
      <c r="A5" s="24" t="s">
        <v>191</v>
      </c>
      <c r="B5" s="43" t="n">
        <v>5</v>
      </c>
      <c r="C5" s="26" t="n">
        <f aca="false">Estatística!G10</f>
        <v>4</v>
      </c>
      <c r="D5" s="24" t="s">
        <v>192</v>
      </c>
    </row>
    <row r="6" customFormat="false" ht="15" hidden="false" customHeight="false" outlineLevel="0" collapsed="false">
      <c r="A6" s="24" t="s">
        <v>193</v>
      </c>
      <c r="B6" s="43" t="n">
        <v>26</v>
      </c>
      <c r="C6" s="26" t="n">
        <f aca="false">Estatística!G13</f>
        <v>26</v>
      </c>
      <c r="D6" s="24" t="s">
        <v>194</v>
      </c>
    </row>
    <row r="7" customFormat="false" ht="15" hidden="false" customHeight="false" outlineLevel="0" collapsed="false">
      <c r="A7" s="24" t="s">
        <v>195</v>
      </c>
      <c r="B7" s="44" t="n">
        <v>0.68</v>
      </c>
      <c r="C7" s="28" t="n">
        <f aca="false">SUM(Dados!G2:G27)/SUMPRODUCT((Dados!G2:G27&lt;&gt;"")*Dados!F2:F27)</f>
        <v>0.6858</v>
      </c>
      <c r="D7" s="24" t="s">
        <v>196</v>
      </c>
    </row>
    <row r="8" customFormat="false" ht="15" hidden="false" customHeight="false" outlineLevel="0" collapsed="false">
      <c r="A8" s="24" t="s">
        <v>197</v>
      </c>
      <c r="B8" s="44" t="n">
        <v>0.57</v>
      </c>
      <c r="C8" s="28" t="n">
        <f aca="false">SUM(Dados!G2:G8)/SUMPRODUCT((Dados!G2:G8&lt;&gt;"")*Dados!F2:F8)</f>
        <v>0.572830188679245</v>
      </c>
      <c r="D8" s="24" t="s">
        <v>194</v>
      </c>
    </row>
    <row r="9" customFormat="false" ht="15" hidden="false" customHeight="false" outlineLevel="0" collapsed="false">
      <c r="A9" s="24" t="s">
        <v>198</v>
      </c>
      <c r="B9" s="44" t="n">
        <v>0.71</v>
      </c>
      <c r="C9" s="28" t="n">
        <f aca="false">SUM(Dados!G9:G27)/SUMPRODUCT((Dados!G9:G27&lt;&gt;"")*Dados!F9:F27)</f>
        <v>0.716192893401015</v>
      </c>
      <c r="D9" s="24" t="s">
        <v>194</v>
      </c>
    </row>
    <row r="10" customFormat="false" ht="15" hidden="false" customHeight="false" outlineLevel="0" collapsed="false">
      <c r="A10" s="24" t="s">
        <v>199</v>
      </c>
      <c r="B10" s="43" t="n">
        <v>34.2</v>
      </c>
      <c r="C10" s="26" t="n">
        <f aca="false">Estatística!E5</f>
        <v>34.1818181818182</v>
      </c>
      <c r="D10" s="24" t="s">
        <v>200</v>
      </c>
    </row>
    <row r="11" customFormat="false" ht="15" hidden="false" customHeight="false" outlineLevel="0" collapsed="false">
      <c r="A11" s="24" t="s">
        <v>201</v>
      </c>
      <c r="B11" s="43" t="s">
        <v>202</v>
      </c>
      <c r="C11" s="45" t="str">
        <f aca="false">TEXT(Estatística!E10,"0")&amp;"–"&amp;TEXT(Estatística!E13,"0")</f>
        <v>18–56</v>
      </c>
      <c r="D11" s="24" t="s">
        <v>203</v>
      </c>
    </row>
    <row r="12" customFormat="false" ht="15" hidden="false" customHeight="false" outlineLevel="0" collapsed="false">
      <c r="A12" s="24" t="s">
        <v>204</v>
      </c>
      <c r="B12" s="44" t="n">
        <v>0.594</v>
      </c>
      <c r="C12" s="28" t="n">
        <f aca="false">SUM(Dados!G28:G38)/SUMPRODUCT((Dados!G28:G38&lt;&gt;"")*Dados!F28:F38)</f>
        <v>0.654220963172805</v>
      </c>
      <c r="D12" s="24" t="s">
        <v>205</v>
      </c>
    </row>
    <row r="13" customFormat="false" ht="15" hidden="false" customHeight="false" outlineLevel="0" collapsed="false">
      <c r="A13" s="24" t="s">
        <v>206</v>
      </c>
      <c r="B13" s="43" t="n">
        <v>216.7</v>
      </c>
      <c r="C13" s="46" t="n">
        <f aca="false">AVERAGE(Dados!J28:J39)</f>
        <v>216.666666666667</v>
      </c>
      <c r="D13" s="24" t="s">
        <v>207</v>
      </c>
    </row>
    <row r="14" customFormat="false" ht="15" hidden="false" customHeight="false" outlineLevel="0" collapsed="false">
      <c r="A14" s="24" t="s">
        <v>208</v>
      </c>
      <c r="B14" s="43" t="s">
        <v>209</v>
      </c>
      <c r="C14" s="47" t="n">
        <f aca="false">Estatística!E5/Estatística!G5</f>
        <v>3.4446793516561</v>
      </c>
      <c r="D14" s="24" t="s">
        <v>210</v>
      </c>
    </row>
    <row r="15" customFormat="false" ht="15" hidden="false" customHeight="false" outlineLevel="0" collapsed="false">
      <c r="A15" s="24" t="s">
        <v>211</v>
      </c>
      <c r="B15" s="43" t="n">
        <v>0.04322</v>
      </c>
      <c r="C15" s="30" t="n">
        <f aca="false">Correlação!P17</f>
        <v>0.4322</v>
      </c>
      <c r="D15" s="24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3"/>
  </cols>
  <sheetData>
    <row r="1" customFormat="false" ht="16.15" hidden="false" customHeight="false" outlineLevel="0" collapsed="false">
      <c r="A1" s="1" t="s">
        <v>213</v>
      </c>
    </row>
    <row r="2" customFormat="false" ht="15" hidden="false" customHeight="false" outlineLevel="0" collapsed="false">
      <c r="A2" s="22" t="s">
        <v>214</v>
      </c>
    </row>
    <row r="4" customFormat="false" ht="15" hidden="false" customHeight="false" outlineLevel="0" collapsed="false">
      <c r="A4" s="48" t="s">
        <v>215</v>
      </c>
      <c r="B4" s="48" t="s">
        <v>216</v>
      </c>
      <c r="C4" s="48" t="s">
        <v>217</v>
      </c>
      <c r="D4" s="48" t="s">
        <v>218</v>
      </c>
      <c r="E4" s="48" t="s">
        <v>219</v>
      </c>
      <c r="F4" s="48" t="s">
        <v>220</v>
      </c>
      <c r="G4" s="48" t="s">
        <v>221</v>
      </c>
    </row>
    <row r="5" customFormat="false" ht="15" hidden="false" customHeight="false" outlineLevel="0" collapsed="false">
      <c r="A5" s="39" t="s">
        <v>141</v>
      </c>
      <c r="B5" s="43" t="n">
        <v>11.85</v>
      </c>
      <c r="C5" s="43" t="n">
        <v>12.57</v>
      </c>
      <c r="D5" s="43" t="n">
        <v>11.59</v>
      </c>
      <c r="E5" s="43" t="n">
        <v>12.62</v>
      </c>
      <c r="F5" s="43" t="n">
        <v>12.22</v>
      </c>
      <c r="G5" s="43" t="n">
        <v>0.02</v>
      </c>
    </row>
    <row r="6" customFormat="false" ht="15" hidden="false" customHeight="false" outlineLevel="0" collapsed="false">
      <c r="A6" s="39" t="s">
        <v>144</v>
      </c>
      <c r="B6" s="43" t="n">
        <v>0.57</v>
      </c>
      <c r="C6" s="43" t="n">
        <v>0.38</v>
      </c>
      <c r="D6" s="43" t="n">
        <v>0.51</v>
      </c>
      <c r="E6" s="43" t="n">
        <v>0.4</v>
      </c>
      <c r="F6" s="43" t="n">
        <v>0.43</v>
      </c>
      <c r="G6" s="43" t="n">
        <v>0.06</v>
      </c>
    </row>
    <row r="7" customFormat="false" ht="15" hidden="false" customHeight="false" outlineLevel="0" collapsed="false">
      <c r="A7" s="39" t="s">
        <v>142</v>
      </c>
      <c r="B7" s="43" t="n">
        <v>2.59</v>
      </c>
      <c r="C7" s="43" t="n">
        <v>2.76</v>
      </c>
      <c r="D7" s="43" t="n">
        <v>2.37</v>
      </c>
      <c r="E7" s="43" t="n">
        <v>1.95</v>
      </c>
      <c r="F7" s="43" t="n">
        <v>1.89</v>
      </c>
      <c r="G7" s="43" t="n">
        <v>0.3</v>
      </c>
    </row>
    <row r="8" customFormat="false" ht="15" hidden="false" customHeight="false" outlineLevel="0" collapsed="false">
      <c r="A8" s="39" t="s">
        <v>146</v>
      </c>
      <c r="B8" s="43" t="n">
        <v>4.08</v>
      </c>
      <c r="C8" s="43" t="n">
        <v>3.61</v>
      </c>
      <c r="D8" s="43" t="n">
        <v>4</v>
      </c>
      <c r="E8" s="43" t="n">
        <v>4.36</v>
      </c>
      <c r="F8" s="43" t="n">
        <v>4.21</v>
      </c>
      <c r="G8" s="43" t="n">
        <v>0.03</v>
      </c>
    </row>
    <row r="9" customFormat="false" ht="15" hidden="false" customHeight="false" outlineLevel="0" collapsed="false">
      <c r="A9" s="39" t="s">
        <v>222</v>
      </c>
      <c r="B9" s="43" t="n">
        <v>0.1</v>
      </c>
      <c r="C9" s="43" t="n">
        <v>0.18</v>
      </c>
      <c r="D9" s="43" t="n">
        <v>0.11</v>
      </c>
      <c r="E9" s="43" t="n">
        <v>0.05</v>
      </c>
      <c r="F9" s="43" t="n">
        <v>0.04</v>
      </c>
      <c r="G9" s="43" t="n">
        <v>0.02</v>
      </c>
    </row>
    <row r="10" customFormat="false" ht="15" hidden="false" customHeight="false" outlineLevel="0" collapsed="false">
      <c r="A10" s="39" t="s">
        <v>147</v>
      </c>
      <c r="B10" s="43" t="n">
        <v>0.03</v>
      </c>
      <c r="C10" s="43" t="n">
        <v>0.03</v>
      </c>
      <c r="D10" s="43" t="n">
        <v>0.03</v>
      </c>
      <c r="E10" s="43" t="n">
        <v>0.02</v>
      </c>
      <c r="F10" s="43" t="n">
        <v>0.02</v>
      </c>
      <c r="G10" s="43"/>
    </row>
    <row r="11" customFormat="false" ht="15" hidden="false" customHeight="false" outlineLevel="0" collapsed="false">
      <c r="A11" s="39" t="s">
        <v>145</v>
      </c>
      <c r="B11" s="43" t="n">
        <v>4.02</v>
      </c>
      <c r="C11" s="43" t="n">
        <v>3.43</v>
      </c>
      <c r="D11" s="43" t="n">
        <v>3.94</v>
      </c>
      <c r="E11" s="43" t="n">
        <v>4.06</v>
      </c>
      <c r="F11" s="43" t="n">
        <v>3.95</v>
      </c>
      <c r="G11" s="43" t="n">
        <v>0.02</v>
      </c>
    </row>
    <row r="12" customFormat="false" ht="15" hidden="false" customHeight="false" outlineLevel="0" collapsed="false">
      <c r="A12" s="39" t="s">
        <v>223</v>
      </c>
      <c r="B12" s="43"/>
      <c r="C12" s="43"/>
      <c r="D12" s="43" t="n">
        <v>0.03</v>
      </c>
      <c r="E12" s="43"/>
      <c r="F12" s="43"/>
      <c r="G12" s="43"/>
    </row>
    <row r="13" customFormat="false" ht="15" hidden="false" customHeight="false" outlineLevel="0" collapsed="false">
      <c r="A13" s="39" t="s">
        <v>139</v>
      </c>
      <c r="B13" s="43" t="n">
        <v>76.27</v>
      </c>
      <c r="C13" s="43" t="n">
        <v>71.91</v>
      </c>
      <c r="D13" s="43" t="n">
        <v>71.95</v>
      </c>
      <c r="E13" s="43" t="n">
        <v>78.52</v>
      </c>
      <c r="F13" s="43" t="n">
        <v>76.55</v>
      </c>
      <c r="G13" s="43"/>
    </row>
    <row r="14" customFormat="false" ht="15" hidden="false" customHeight="false" outlineLevel="0" collapsed="false">
      <c r="A14" s="39" t="s">
        <v>140</v>
      </c>
      <c r="B14" s="43" t="n">
        <v>0.1</v>
      </c>
      <c r="C14" s="43" t="n">
        <v>0.06</v>
      </c>
      <c r="D14" s="43" t="n">
        <v>0.08</v>
      </c>
      <c r="E14" s="43" t="n">
        <v>0.07</v>
      </c>
      <c r="F14" s="43" t="n">
        <v>0.07</v>
      </c>
      <c r="G14" s="43"/>
    </row>
    <row r="15" customFormat="false" ht="15" hidden="false" customHeight="false" outlineLevel="0" collapsed="false">
      <c r="A15" s="39" t="s">
        <v>224</v>
      </c>
      <c r="B15" s="43" t="n">
        <v>1.06</v>
      </c>
      <c r="C15" s="43" t="n">
        <v>1.01</v>
      </c>
      <c r="D15" s="43" t="n">
        <v>0.55</v>
      </c>
      <c r="E15" s="43" t="n">
        <v>0.78</v>
      </c>
      <c r="F15" s="43" t="n">
        <v>0.89</v>
      </c>
      <c r="G15" s="43" t="n">
        <v>0.06</v>
      </c>
    </row>
    <row r="16" customFormat="false" ht="15" hidden="false" customHeight="false" outlineLevel="0" collapsed="false">
      <c r="A16" s="39" t="s">
        <v>225</v>
      </c>
      <c r="B16" s="43" t="n">
        <v>37</v>
      </c>
      <c r="C16" s="43" t="n">
        <v>55</v>
      </c>
      <c r="D16" s="43" t="n">
        <v>26</v>
      </c>
      <c r="E16" s="43" t="n">
        <v>22</v>
      </c>
      <c r="F16" s="43" t="n">
        <v>27</v>
      </c>
      <c r="G16" s="43" t="n">
        <v>25</v>
      </c>
    </row>
    <row r="17" customFormat="false" ht="15" hidden="false" customHeight="false" outlineLevel="0" collapsed="false">
      <c r="A17" s="39" t="s">
        <v>226</v>
      </c>
      <c r="B17" s="43" t="n">
        <v>14</v>
      </c>
      <c r="C17" s="43" t="n">
        <v>15</v>
      </c>
      <c r="D17" s="43" t="n">
        <v>14</v>
      </c>
      <c r="E17" s="43" t="n">
        <v>10</v>
      </c>
      <c r="F17" s="43" t="n">
        <v>10</v>
      </c>
      <c r="G17" s="43"/>
    </row>
    <row r="18" customFormat="false" ht="15" hidden="false" customHeight="false" outlineLevel="0" collapsed="false">
      <c r="A18" s="39" t="s">
        <v>227</v>
      </c>
      <c r="B18" s="43" t="n">
        <v>268</v>
      </c>
      <c r="C18" s="43" t="n">
        <v>254</v>
      </c>
      <c r="D18" s="43" t="n">
        <v>265</v>
      </c>
      <c r="E18" s="43" t="n">
        <v>203</v>
      </c>
      <c r="F18" s="43" t="n">
        <v>201</v>
      </c>
      <c r="G18" s="43" t="n">
        <v>12</v>
      </c>
    </row>
    <row r="19" customFormat="false" ht="15" hidden="false" customHeight="false" outlineLevel="0" collapsed="false">
      <c r="A19" s="39" t="s">
        <v>151</v>
      </c>
      <c r="B19" s="43" t="n">
        <v>272</v>
      </c>
      <c r="C19" s="43" t="n">
        <v>208</v>
      </c>
      <c r="D19" s="43" t="n">
        <v>270</v>
      </c>
      <c r="E19" s="43" t="n">
        <v>243</v>
      </c>
      <c r="F19" s="43" t="n">
        <v>249</v>
      </c>
      <c r="G19" s="43"/>
    </row>
    <row r="20" customFormat="false" ht="15" hidden="false" customHeight="false" outlineLevel="0" collapsed="false">
      <c r="A20" s="39" t="s">
        <v>228</v>
      </c>
      <c r="B20" s="43" t="n">
        <v>9</v>
      </c>
      <c r="C20" s="43" t="n">
        <v>48</v>
      </c>
      <c r="D20" s="43" t="n">
        <v>95</v>
      </c>
      <c r="E20" s="43" t="n">
        <v>42</v>
      </c>
      <c r="F20" s="43" t="n">
        <v>38</v>
      </c>
      <c r="G20" s="43" t="n">
        <v>14</v>
      </c>
    </row>
    <row r="21" customFormat="false" ht="15" hidden="false" customHeight="false" outlineLevel="0" collapsed="false">
      <c r="A21" s="39" t="s">
        <v>229</v>
      </c>
      <c r="B21" s="43" t="n">
        <v>77.9</v>
      </c>
      <c r="C21" s="43" t="n">
        <v>49.3</v>
      </c>
      <c r="D21" s="43" t="n">
        <v>67.7</v>
      </c>
      <c r="E21" s="43" t="n">
        <v>95.5</v>
      </c>
      <c r="F21" s="43" t="n">
        <v>92.3</v>
      </c>
      <c r="G21" s="43" t="n">
        <v>2.8</v>
      </c>
    </row>
    <row r="22" customFormat="false" ht="15" hidden="false" customHeight="false" outlineLevel="0" collapsed="false">
      <c r="A22" s="39" t="s">
        <v>230</v>
      </c>
      <c r="B22" s="43"/>
      <c r="C22" s="43"/>
      <c r="D22" s="43" t="n">
        <v>0.6</v>
      </c>
      <c r="E22" s="43" t="n">
        <v>0.5</v>
      </c>
      <c r="F22" s="43" t="n">
        <v>1.1</v>
      </c>
      <c r="G22" s="43" t="n">
        <v>0.5</v>
      </c>
    </row>
    <row r="23" customFormat="false" ht="15" hidden="false" customHeight="false" outlineLevel="0" collapsed="false">
      <c r="A23" s="39" t="s">
        <v>231</v>
      </c>
      <c r="B23" s="43" t="n">
        <v>1.26</v>
      </c>
      <c r="C23" s="43" t="n">
        <v>1.4</v>
      </c>
      <c r="D23" s="43" t="n">
        <v>1.03</v>
      </c>
      <c r="E23" s="43" t="n">
        <v>1.11</v>
      </c>
      <c r="F23" s="43" t="n">
        <v>1.07</v>
      </c>
      <c r="G23" s="43" t="n">
        <v>0.08</v>
      </c>
    </row>
    <row r="24" customFormat="false" ht="15" hidden="false" customHeight="false" outlineLevel="0" collapsed="false">
      <c r="A24" s="39" t="s">
        <v>232</v>
      </c>
      <c r="B24" s="43" t="n">
        <v>5</v>
      </c>
      <c r="C24" s="43"/>
      <c r="D24" s="43" t="n">
        <v>5</v>
      </c>
      <c r="E24" s="43" t="n">
        <v>5</v>
      </c>
      <c r="F24" s="43" t="n">
        <v>5</v>
      </c>
      <c r="G24" s="43"/>
    </row>
    <row r="25" customFormat="false" ht="15" hidden="false" customHeight="false" outlineLevel="0" collapsed="false">
      <c r="A25" s="39" t="s">
        <v>233</v>
      </c>
      <c r="B25" s="43" t="n">
        <v>32.08</v>
      </c>
      <c r="C25" s="43" t="n">
        <v>42.74</v>
      </c>
      <c r="D25" s="43" t="n">
        <v>39.25</v>
      </c>
      <c r="E25" s="43" t="n">
        <v>22.85</v>
      </c>
      <c r="F25" s="43" t="n">
        <v>22.89</v>
      </c>
      <c r="G25" s="43" t="n">
        <v>0.14</v>
      </c>
    </row>
    <row r="26" customFormat="false" ht="15" hidden="false" customHeight="false" outlineLevel="0" collapsed="false">
      <c r="A26" s="39" t="s">
        <v>234</v>
      </c>
      <c r="B26" s="43" t="n">
        <v>21.96</v>
      </c>
      <c r="C26" s="43" t="n">
        <v>28.55</v>
      </c>
      <c r="D26" s="43" t="n">
        <v>25.95</v>
      </c>
      <c r="E26" s="43" t="n">
        <v>14.08</v>
      </c>
      <c r="F26" s="43" t="n">
        <v>14.22</v>
      </c>
      <c r="G26" s="43" t="n">
        <v>0.1</v>
      </c>
    </row>
    <row r="27" customFormat="false" ht="15" hidden="false" customHeight="false" outlineLevel="0" collapsed="false">
      <c r="A27" s="39" t="s">
        <v>235</v>
      </c>
      <c r="B27" s="43" t="n">
        <v>0.05</v>
      </c>
      <c r="C27" s="43"/>
      <c r="D27" s="43" t="n">
        <v>0.05</v>
      </c>
      <c r="E27" s="43" t="n">
        <v>0.06</v>
      </c>
      <c r="F27" s="43" t="n">
        <v>0.06</v>
      </c>
      <c r="G27" s="43"/>
    </row>
    <row r="28" customFormat="false" ht="15" hidden="false" customHeight="false" outlineLevel="0" collapsed="false">
      <c r="A28" s="39" t="s">
        <v>236</v>
      </c>
      <c r="B28" s="43" t="n">
        <v>36.8</v>
      </c>
      <c r="C28" s="43" t="n">
        <v>36.2</v>
      </c>
      <c r="D28" s="43" t="n">
        <v>36</v>
      </c>
      <c r="E28" s="43" t="n">
        <v>39.8</v>
      </c>
      <c r="F28" s="43" t="n">
        <v>39.2</v>
      </c>
      <c r="G28" s="43"/>
    </row>
    <row r="29" customFormat="false" ht="15" hidden="false" customHeight="false" outlineLevel="0" collapsed="false">
      <c r="A29" s="39" t="s">
        <v>237</v>
      </c>
      <c r="B29" s="43" t="n">
        <v>20.33</v>
      </c>
      <c r="C29" s="43" t="n">
        <v>22.94</v>
      </c>
      <c r="D29" s="43" t="n">
        <v>21.93</v>
      </c>
      <c r="E29" s="43" t="n">
        <v>18.39</v>
      </c>
      <c r="F29" s="43" t="n">
        <v>17.98</v>
      </c>
      <c r="G29" s="43" t="n">
        <v>0.22</v>
      </c>
    </row>
    <row r="30" customFormat="false" ht="15" hidden="false" customHeight="false" outlineLevel="0" collapsed="false">
      <c r="A30" s="39" t="s">
        <v>238</v>
      </c>
      <c r="B30" s="43" t="n">
        <v>12</v>
      </c>
      <c r="C30" s="43" t="n">
        <v>14.17</v>
      </c>
      <c r="D30" s="43" t="n">
        <v>12.07</v>
      </c>
      <c r="E30" s="43" t="n">
        <v>13.5</v>
      </c>
      <c r="F30" s="43" t="n">
        <v>12.97</v>
      </c>
      <c r="G30" s="43" t="n">
        <v>0.1</v>
      </c>
    </row>
    <row r="31" customFormat="false" ht="15" hidden="false" customHeight="false" outlineLevel="0" collapsed="false">
      <c r="A31" s="39" t="s">
        <v>239</v>
      </c>
      <c r="B31" s="43" t="n">
        <v>6.8</v>
      </c>
      <c r="C31" s="43" t="n">
        <v>9.01</v>
      </c>
      <c r="D31" s="43" t="n">
        <v>8.16</v>
      </c>
      <c r="E31" s="43" t="n">
        <v>4.69</v>
      </c>
      <c r="F31" s="43" t="n">
        <v>4.58</v>
      </c>
      <c r="G31" s="43"/>
    </row>
    <row r="32" customFormat="false" ht="15" hidden="false" customHeight="false" outlineLevel="0" collapsed="false">
      <c r="A32" s="39" t="s">
        <v>240</v>
      </c>
      <c r="B32" s="43" t="n">
        <v>35.4</v>
      </c>
      <c r="C32" s="43" t="n">
        <v>21.5</v>
      </c>
      <c r="D32" s="43" t="n">
        <v>33.8</v>
      </c>
      <c r="E32" s="43" t="n">
        <v>49.3</v>
      </c>
      <c r="F32" s="43" t="n">
        <v>48.7</v>
      </c>
      <c r="G32" s="43" t="n">
        <v>3.6</v>
      </c>
    </row>
    <row r="33" customFormat="false" ht="15" hidden="false" customHeight="false" outlineLevel="0" collapsed="false">
      <c r="A33" s="39" t="s">
        <v>241</v>
      </c>
      <c r="B33" s="43" t="n">
        <v>2.58</v>
      </c>
      <c r="C33" s="43" t="n">
        <v>2.99</v>
      </c>
      <c r="D33" s="43" t="n">
        <v>2.86</v>
      </c>
      <c r="E33" s="43" t="n">
        <v>1.61</v>
      </c>
      <c r="F33" s="43" t="n">
        <v>1.6</v>
      </c>
      <c r="G33" s="43"/>
    </row>
    <row r="34" customFormat="false" ht="15" hidden="false" customHeight="false" outlineLevel="0" collapsed="false">
      <c r="A34" s="39" t="s">
        <v>242</v>
      </c>
      <c r="B34" s="43"/>
      <c r="C34" s="43" t="n">
        <v>2</v>
      </c>
      <c r="D34" s="43" t="n">
        <v>4</v>
      </c>
      <c r="E34" s="43" t="n">
        <v>2</v>
      </c>
      <c r="F34" s="43" t="n">
        <v>5</v>
      </c>
      <c r="G34" s="43" t="n">
        <v>3</v>
      </c>
    </row>
    <row r="35" customFormat="false" ht="15" hidden="false" customHeight="false" outlineLevel="0" collapsed="false">
      <c r="A35" s="39" t="s">
        <v>149</v>
      </c>
      <c r="B35" s="43" t="n">
        <v>85.03</v>
      </c>
      <c r="C35" s="43" t="n">
        <v>71.24</v>
      </c>
      <c r="D35" s="43" t="n">
        <v>64.89</v>
      </c>
      <c r="E35" s="43" t="n">
        <v>86.16</v>
      </c>
      <c r="F35" s="43" t="n">
        <v>83.98</v>
      </c>
      <c r="G35" s="43"/>
    </row>
    <row r="36" customFormat="false" ht="15" hidden="false" customHeight="false" outlineLevel="0" collapsed="false">
      <c r="A36" s="39" t="s">
        <v>243</v>
      </c>
      <c r="B36" s="43" t="n">
        <v>37.7</v>
      </c>
      <c r="C36" s="43" t="n">
        <v>27.5</v>
      </c>
      <c r="D36" s="43" t="n">
        <v>33.7</v>
      </c>
      <c r="E36" s="43" t="n">
        <v>46.2</v>
      </c>
      <c r="F36" s="43" t="n">
        <v>45.1</v>
      </c>
      <c r="G36" s="43" t="n">
        <v>1</v>
      </c>
    </row>
    <row r="37" customFormat="false" ht="15" hidden="false" customHeight="false" outlineLevel="0" collapsed="false">
      <c r="A37" s="39" t="s">
        <v>244</v>
      </c>
      <c r="B37" s="43" t="n">
        <v>8</v>
      </c>
      <c r="C37" s="43" t="n">
        <v>8</v>
      </c>
      <c r="D37" s="43" t="n">
        <v>21</v>
      </c>
      <c r="E37" s="43" t="n">
        <v>9</v>
      </c>
      <c r="F37" s="43" t="n">
        <v>17</v>
      </c>
      <c r="G37" s="43" t="n">
        <v>9</v>
      </c>
    </row>
    <row r="38" customFormat="false" ht="15" hidden="false" customHeight="false" outlineLevel="0" collapsed="false">
      <c r="A38" s="39" t="s">
        <v>245</v>
      </c>
      <c r="B38" s="43" t="n">
        <v>9.84</v>
      </c>
      <c r="C38" s="43" t="n">
        <v>6.5</v>
      </c>
      <c r="D38" s="43" t="n">
        <v>8.49</v>
      </c>
      <c r="E38" s="43" t="n">
        <v>12.39</v>
      </c>
      <c r="F38" s="43" t="n">
        <v>11.95</v>
      </c>
      <c r="G38" s="43" t="n">
        <v>0.26</v>
      </c>
    </row>
    <row r="39" customFormat="false" ht="15" hidden="false" customHeight="false" outlineLevel="0" collapsed="false">
      <c r="A39" s="39" t="s">
        <v>246</v>
      </c>
      <c r="B39" s="43" t="n">
        <v>331.1</v>
      </c>
      <c r="C39" s="43" t="n">
        <v>324.2</v>
      </c>
      <c r="D39" s="43" t="n">
        <v>329.4</v>
      </c>
      <c r="E39" s="43" t="n">
        <v>382.8</v>
      </c>
      <c r="F39" s="43" t="n">
        <v>371.5</v>
      </c>
      <c r="G39" s="43" t="n">
        <v>0.4</v>
      </c>
    </row>
    <row r="40" customFormat="false" ht="15" hidden="false" customHeight="false" outlineLevel="0" collapsed="false">
      <c r="A40" s="39" t="s">
        <v>247</v>
      </c>
      <c r="B40" s="43" t="n">
        <v>14.7</v>
      </c>
      <c r="C40" s="43" t="n">
        <v>13.4</v>
      </c>
      <c r="D40" s="43" t="n">
        <v>14.2</v>
      </c>
      <c r="E40" s="43" t="n">
        <v>15.2</v>
      </c>
      <c r="F40" s="43" t="n">
        <v>15</v>
      </c>
      <c r="G40" s="43" t="n">
        <v>0.1</v>
      </c>
    </row>
    <row r="41" customFormat="false" ht="15" hidden="false" customHeight="false" outlineLevel="0" collapsed="false">
      <c r="A41" s="39" t="s">
        <v>148</v>
      </c>
      <c r="B41" s="43" t="n">
        <v>7.4</v>
      </c>
      <c r="C41" s="43" t="n">
        <v>14.6</v>
      </c>
      <c r="D41" s="43" t="n">
        <v>6.4</v>
      </c>
      <c r="E41" s="43" t="n">
        <v>7.2</v>
      </c>
      <c r="F41" s="43" t="n">
        <v>7.5</v>
      </c>
      <c r="G41" s="43" t="n">
        <v>1.6</v>
      </c>
    </row>
    <row r="42" customFormat="false" ht="15" hidden="false" customHeight="false" outlineLevel="0" collapsed="false">
      <c r="A42" s="39" t="s">
        <v>248</v>
      </c>
      <c r="B42" s="43" t="n">
        <v>3.74</v>
      </c>
      <c r="C42" s="43" t="n">
        <v>5.69</v>
      </c>
      <c r="D42" s="43" t="n">
        <v>3.04</v>
      </c>
      <c r="E42" s="43" t="n">
        <v>4.45</v>
      </c>
      <c r="F42" s="43" t="n">
        <v>4.41</v>
      </c>
      <c r="G42" s="43"/>
    </row>
    <row r="43" customFormat="false" ht="15" hidden="false" customHeight="false" outlineLevel="0" collapsed="false">
      <c r="A43" s="39" t="s">
        <v>249</v>
      </c>
      <c r="B43" s="43" t="n">
        <v>4.29</v>
      </c>
      <c r="C43" s="43" t="n">
        <v>5.38</v>
      </c>
      <c r="D43" s="43" t="n">
        <v>5.04</v>
      </c>
      <c r="E43" s="43" t="n">
        <v>3.43</v>
      </c>
      <c r="F43" s="43" t="n">
        <v>3.33</v>
      </c>
      <c r="G43" s="43"/>
    </row>
    <row r="44" customFormat="false" ht="15" hidden="false" customHeight="false" outlineLevel="0" collapsed="false">
      <c r="A44" s="39" t="s">
        <v>250</v>
      </c>
      <c r="B44" s="43" t="n">
        <v>21.7</v>
      </c>
      <c r="C44" s="43" t="n">
        <v>31.1</v>
      </c>
      <c r="D44" s="43" t="n">
        <v>19.7</v>
      </c>
      <c r="E44" s="43" t="n">
        <v>31.8</v>
      </c>
      <c r="F44" s="43" t="n">
        <v>31.5</v>
      </c>
      <c r="G44" s="43" t="n">
        <v>0.2</v>
      </c>
    </row>
    <row r="45" customFormat="false" ht="15" hidden="false" customHeight="false" outlineLevel="0" collapsed="false">
      <c r="A45" s="39" t="s">
        <v>251</v>
      </c>
      <c r="B45" s="43" t="n">
        <v>3.16</v>
      </c>
      <c r="C45" s="43" t="n">
        <v>3.89</v>
      </c>
      <c r="D45" s="43" t="n">
        <v>3.66</v>
      </c>
      <c r="E45" s="43" t="n">
        <v>2.03</v>
      </c>
      <c r="F45" s="43" t="n">
        <v>1.96</v>
      </c>
      <c r="G45" s="43"/>
    </row>
    <row r="46" customFormat="false" ht="15" hidden="false" customHeight="false" outlineLevel="0" collapsed="false">
      <c r="A46" s="39" t="s">
        <v>252</v>
      </c>
      <c r="B46" s="43" t="n">
        <v>8.14</v>
      </c>
      <c r="C46" s="43" t="n">
        <v>15.38</v>
      </c>
      <c r="D46" s="43" t="n">
        <v>7.69</v>
      </c>
      <c r="E46" s="43" t="n">
        <v>8.9</v>
      </c>
      <c r="F46" s="43" t="n">
        <v>8.7</v>
      </c>
      <c r="G46" s="43" t="n">
        <v>0.11</v>
      </c>
    </row>
    <row r="47" customFormat="false" ht="15" hidden="false" customHeight="false" outlineLevel="0" collapsed="false">
      <c r="A47" s="39" t="s">
        <v>253</v>
      </c>
      <c r="B47" s="43" t="n">
        <v>2.3</v>
      </c>
      <c r="C47" s="43" t="n">
        <v>2.4</v>
      </c>
      <c r="D47" s="43" t="n">
        <v>2.1</v>
      </c>
      <c r="E47" s="43" t="n">
        <v>2.5</v>
      </c>
      <c r="F47" s="43" t="n">
        <v>2.5</v>
      </c>
      <c r="G47" s="43" t="n">
        <v>1.2</v>
      </c>
    </row>
    <row r="48" customFormat="false" ht="15" hidden="false" customHeight="false" outlineLevel="0" collapsed="false">
      <c r="A48" s="39" t="s">
        <v>150</v>
      </c>
      <c r="B48" s="43" t="n">
        <v>201.44</v>
      </c>
      <c r="C48" s="43" t="n">
        <v>259.19</v>
      </c>
      <c r="D48" s="43" t="n">
        <v>252.8</v>
      </c>
      <c r="E48" s="43" t="n">
        <v>170.21</v>
      </c>
      <c r="F48" s="43" t="n">
        <v>167.87</v>
      </c>
      <c r="G48" s="43" t="n">
        <v>1.2</v>
      </c>
    </row>
    <row r="49" customFormat="false" ht="15" hidden="false" customHeight="false" outlineLevel="0" collapsed="false">
      <c r="A49" s="39" t="s">
        <v>254</v>
      </c>
      <c r="B49" s="43" t="n">
        <v>20.8</v>
      </c>
      <c r="C49" s="43" t="n">
        <v>24.1</v>
      </c>
      <c r="D49" s="43" t="n">
        <v>23.1</v>
      </c>
      <c r="E49" s="43" t="n">
        <v>13</v>
      </c>
      <c r="F49" s="43" t="n">
        <v>13</v>
      </c>
      <c r="G49" s="43"/>
    </row>
    <row r="51" customFormat="false" ht="15" hidden="false" customHeight="false" outlineLevel="0" collapsed="false">
      <c r="A51" s="2" t="s">
        <v>255</v>
      </c>
    </row>
    <row r="52" customFormat="false" ht="15" hidden="false" customHeight="false" outlineLevel="0" collapsed="false">
      <c r="A52" s="23" t="s">
        <v>215</v>
      </c>
      <c r="B52" s="23" t="s">
        <v>216</v>
      </c>
      <c r="C52" s="23" t="s">
        <v>217</v>
      </c>
      <c r="D52" s="23" t="s">
        <v>218</v>
      </c>
      <c r="E52" s="23" t="s">
        <v>219</v>
      </c>
      <c r="F52" s="23" t="s">
        <v>220</v>
      </c>
    </row>
    <row r="53" customFormat="false" ht="15" hidden="false" customHeight="false" outlineLevel="0" collapsed="false">
      <c r="A53" s="39" t="s">
        <v>256</v>
      </c>
      <c r="B53" s="26" t="n">
        <f aca="false">SUM(B5:B15)</f>
        <v>100.67</v>
      </c>
      <c r="C53" s="26" t="n">
        <f aca="false">SUM(C5:C15)</f>
        <v>95.94</v>
      </c>
      <c r="D53" s="26" t="n">
        <f aca="false">SUM(D5:D15)</f>
        <v>95.16</v>
      </c>
      <c r="E53" s="26" t="n">
        <f aca="false">SUM(E5:E15)</f>
        <v>102.83</v>
      </c>
      <c r="F53" s="26" t="n">
        <f aca="false">SUM(F5:F15)</f>
        <v>100.27</v>
      </c>
    </row>
    <row r="54" customFormat="false" ht="15" hidden="false" customHeight="false" outlineLevel="0" collapsed="false">
      <c r="A54" s="39" t="s">
        <v>257</v>
      </c>
      <c r="B54" s="26" t="n">
        <f aca="false">B46*1.1792</f>
        <v>9.598688</v>
      </c>
      <c r="C54" s="26" t="n">
        <f aca="false">C46*1.1792</f>
        <v>18.136096</v>
      </c>
      <c r="D54" s="26" t="n">
        <f aca="false">D46*1.1792</f>
        <v>9.068048</v>
      </c>
      <c r="E54" s="26" t="n">
        <f aca="false">E46*1.1792</f>
        <v>10.49488</v>
      </c>
      <c r="F54" s="26" t="n">
        <f aca="false">F46*1.1792</f>
        <v>10.25904</v>
      </c>
    </row>
    <row r="55" customFormat="false" ht="15" hidden="false" customHeight="false" outlineLevel="0" collapsed="false">
      <c r="A55" s="39" t="s">
        <v>258</v>
      </c>
      <c r="B55" s="46" t="n">
        <f aca="false">B44*1.1379</f>
        <v>24.69243</v>
      </c>
      <c r="C55" s="46" t="n">
        <f aca="false">C44*1.1379</f>
        <v>35.38869</v>
      </c>
      <c r="D55" s="46" t="n">
        <f aca="false">D44*1.1379</f>
        <v>22.41663</v>
      </c>
      <c r="E55" s="46" t="n">
        <f aca="false">E44*1.1379</f>
        <v>36.18522</v>
      </c>
      <c r="F55" s="46" t="n">
        <f aca="false">F44*1.1379</f>
        <v>35.84385</v>
      </c>
    </row>
    <row r="56" customFormat="false" ht="15" hidden="false" customHeight="false" outlineLevel="0" collapsed="false">
      <c r="A56" s="39" t="s">
        <v>259</v>
      </c>
      <c r="B56" s="26" t="n">
        <f aca="false">B44/B46</f>
        <v>2.66584766584767</v>
      </c>
      <c r="C56" s="26" t="n">
        <f aca="false">C44/C46</f>
        <v>2.0221066319896</v>
      </c>
      <c r="D56" s="26" t="n">
        <f aca="false">D44/D46</f>
        <v>2.56176853055917</v>
      </c>
      <c r="E56" s="26" t="n">
        <f aca="false">E44/E46</f>
        <v>3.57303370786517</v>
      </c>
      <c r="F56" s="26" t="n">
        <f aca="false">F44/F46</f>
        <v>3.62068965517241</v>
      </c>
    </row>
    <row r="57" customFormat="false" ht="15" hidden="false" customHeight="false" outlineLevel="0" collapsed="false">
      <c r="A57" s="39" t="s">
        <v>260</v>
      </c>
      <c r="B57" s="26" t="n">
        <f aca="false">(B11*2/61.98+B8*2/94.2)/(B5*2/101.96)</f>
        <v>0.930733333650737</v>
      </c>
      <c r="C57" s="26" t="n">
        <f aca="false">(C11*2/61.98+C8*2/94.2)/(C5*2/101.96)</f>
        <v>0.759737054574487</v>
      </c>
      <c r="D57" s="26" t="n">
        <f aca="false">(D11*2/61.98+D8*2/94.2)/(D5*2/101.96)</f>
        <v>0.932786542456655</v>
      </c>
      <c r="E57" s="26" t="n">
        <f aca="false">(E11*2/61.98+E8*2/94.2)/(E5*2/101.96)</f>
        <v>0.903174143640449</v>
      </c>
      <c r="F57" s="26" t="n">
        <f aca="false">(F11*2/61.98+F8*2/94.2)/(F5*2/101.96)</f>
        <v>0.904643687235911</v>
      </c>
    </row>
    <row r="58" customFormat="false" ht="15" hidden="false" customHeight="false" outlineLevel="0" collapsed="false">
      <c r="A58" s="39" t="s">
        <v>261</v>
      </c>
      <c r="B58" s="26" t="n">
        <f aca="false">(B5*2/101.96)/(B6/56.08*2+B11*2/61.98+B8*2/94.2)</f>
        <v>0.98213779934543</v>
      </c>
      <c r="C58" s="26" t="n">
        <f aca="false">(C5*2/101.96)/(C6/56.08*2+C11*2/61.98+C8*2/94.2)</f>
        <v>1.22744565834617</v>
      </c>
      <c r="D58" s="26" t="n">
        <f aca="false">(D5*2/101.96)/(D6/56.08*2+D11*2/61.98+D8*2/94.2)</f>
        <v>0.987371553214105</v>
      </c>
      <c r="E58" s="26" t="n">
        <f aca="false">(E5*2/101.96)/(E6/56.08*2+E11*2/61.98+E8*2/94.2)</f>
        <v>1.04079860572985</v>
      </c>
      <c r="F58" s="26" t="n">
        <f aca="false">(F5*2/101.96)/(F6/56.08*2+F11*2/61.98+F8*2/94.2)</f>
        <v>1.03239662662282</v>
      </c>
    </row>
    <row r="59" customFormat="false" ht="15" hidden="false" customHeight="false" outlineLevel="0" collapsed="false">
      <c r="A59" s="39" t="s">
        <v>262</v>
      </c>
      <c r="B59" s="26" t="n">
        <f aca="false">B28/(B5*0.5293)</f>
        <v>5.86715517110809</v>
      </c>
      <c r="C59" s="26" t="n">
        <f aca="false">C28/(C5*0.5293)</f>
        <v>5.44090820481442</v>
      </c>
      <c r="D59" s="26" t="n">
        <f aca="false">D28/(D5*0.5293)</f>
        <v>5.86836571068272</v>
      </c>
      <c r="E59" s="26" t="n">
        <f aca="false">E28/(E5*0.5293)</f>
        <v>5.95829255096661</v>
      </c>
      <c r="F59" s="26" t="n">
        <f aca="false">F28/(F5*0.5293)</f>
        <v>6.0605629582721</v>
      </c>
    </row>
    <row r="60" customFormat="false" ht="15" hidden="false" customHeight="false" outlineLevel="0" collapsed="false">
      <c r="A60" s="39" t="s">
        <v>263</v>
      </c>
      <c r="B60" s="25" t="n">
        <f aca="false">B19+B35+B21+B48</f>
        <v>636.37</v>
      </c>
      <c r="C60" s="25" t="n">
        <f aca="false">C19+C35+C21+C48</f>
        <v>587.73</v>
      </c>
      <c r="D60" s="25" t="n">
        <f aca="false">D19+D35+D21+D48</f>
        <v>655.39</v>
      </c>
      <c r="E60" s="25" t="n">
        <f aca="false">E19+E35+E21+E48</f>
        <v>594.87</v>
      </c>
      <c r="F60" s="25" t="n">
        <f aca="false">F19+F35+F21+F48</f>
        <v>593.15</v>
      </c>
    </row>
    <row r="61" customFormat="false" ht="15" hidden="false" customHeight="false" outlineLevel="0" collapsed="false">
      <c r="A61" s="39" t="s">
        <v>264</v>
      </c>
      <c r="B61" s="25" t="n">
        <f aca="false">B39/B17</f>
        <v>23.65</v>
      </c>
      <c r="C61" s="25" t="n">
        <f aca="false">C39/C17</f>
        <v>21.6133333333333</v>
      </c>
      <c r="D61" s="25" t="n">
        <f aca="false">D39/D17</f>
        <v>23.5285714285714</v>
      </c>
      <c r="E61" s="25" t="n">
        <f aca="false">E39/E17</f>
        <v>38.28</v>
      </c>
      <c r="F61" s="25" t="n">
        <f aca="false">F39/F17</f>
        <v>37.15</v>
      </c>
    </row>
    <row r="62" customFormat="false" ht="15" hidden="false" customHeight="false" outlineLevel="0" collapsed="false">
      <c r="A62" s="39" t="s">
        <v>265</v>
      </c>
      <c r="B62" s="49" t="n">
        <f aca="false">IF(B27="","Eu&lt;LD",(B27/0.058)/SQRT((B40/0.153)*(B29/0.2055)))</f>
        <v>0.00884232111570106</v>
      </c>
      <c r="C62" s="49" t="str">
        <f aca="false">IF(C27="","Eu&lt;LD",(C27/0.058)/SQRT((C40/0.153)*(C29/0.2055)))</f>
        <v>Eu&lt;LD</v>
      </c>
      <c r="D62" s="49" t="n">
        <f aca="false">IF(D27="","Eu&lt;LD",(D27/0.058)/SQRT((D40/0.153)*(D29/0.2055)))</f>
        <v>0.00866223878202</v>
      </c>
      <c r="E62" s="49" t="n">
        <f aca="false">IF(E27="","Eu&lt;LD",(E27/0.058)/SQRT((E40/0.153)*(E29/0.2055)))</f>
        <v>0.0109714044892516</v>
      </c>
      <c r="F62" s="49" t="n">
        <f aca="false">IF(F27="","Eu&lt;LD",(F27/0.058)/SQRT((F40/0.153)*(F29/0.2055)))</f>
        <v>0.0111695174796709</v>
      </c>
    </row>
    <row r="63" customFormat="false" ht="15" hidden="false" customHeight="false" outlineLevel="0" collapsed="false">
      <c r="A63" s="39" t="s">
        <v>266</v>
      </c>
      <c r="B63" s="26" t="n">
        <f aca="false">(B32/0.237)/(B49/0.17)</f>
        <v>1.22078870496592</v>
      </c>
      <c r="C63" s="26" t="n">
        <f aca="false">(C32/0.237)/(C49/0.17)</f>
        <v>0.639914561339006</v>
      </c>
      <c r="D63" s="26" t="n">
        <f aca="false">(D32/0.237)/(D49/0.17)</f>
        <v>1.04955522677042</v>
      </c>
      <c r="E63" s="26" t="n">
        <f aca="false">(E32/0.237)/(E49/0.17)</f>
        <v>2.72022070756248</v>
      </c>
      <c r="F63" s="26" t="n">
        <f aca="false">(F32/0.237)/(F49/0.17)</f>
        <v>2.68711457319052</v>
      </c>
    </row>
    <row r="64" customFormat="false" ht="15" hidden="false" customHeight="false" outlineLevel="0" collapsed="false">
      <c r="A64" s="39" t="s">
        <v>267</v>
      </c>
      <c r="B64" s="25" t="n">
        <f aca="false">B46*12.35</f>
        <v>100.529</v>
      </c>
      <c r="C64" s="25" t="n">
        <f aca="false">C46*12.35</f>
        <v>189.943</v>
      </c>
      <c r="D64" s="25" t="n">
        <f aca="false">D46*12.35</f>
        <v>94.9715</v>
      </c>
      <c r="E64" s="25" t="n">
        <f aca="false">E46*12.35</f>
        <v>109.915</v>
      </c>
      <c r="F64" s="25" t="n">
        <f aca="false">F46*12.35</f>
        <v>107.445</v>
      </c>
    </row>
    <row r="65" customFormat="false" ht="15" hidden="false" customHeight="false" outlineLevel="0" collapsed="false">
      <c r="A65" s="39" t="s">
        <v>268</v>
      </c>
      <c r="B65" s="25" t="n">
        <f aca="false">B44*4.06</f>
        <v>88.102</v>
      </c>
      <c r="C65" s="25" t="n">
        <f aca="false">C44*4.06</f>
        <v>126.266</v>
      </c>
      <c r="D65" s="25" t="n">
        <f aca="false">D44*4.06</f>
        <v>79.982</v>
      </c>
      <c r="E65" s="25" t="n">
        <f aca="false">E44*4.06</f>
        <v>129.108</v>
      </c>
      <c r="F65" s="25" t="n">
        <f aca="false">F44*4.06</f>
        <v>127.89</v>
      </c>
    </row>
    <row r="66" customFormat="false" ht="15" hidden="false" customHeight="false" outlineLevel="0" collapsed="false">
      <c r="A66" s="39" t="s">
        <v>269</v>
      </c>
      <c r="B66" s="25" t="n">
        <f aca="false">B8*0.8301*313</f>
        <v>1060.070904</v>
      </c>
      <c r="C66" s="25" t="n">
        <f aca="false">C8*0.8301*313</f>
        <v>937.954893</v>
      </c>
      <c r="D66" s="25" t="n">
        <f aca="false">D8*0.8301*313</f>
        <v>1039.2852</v>
      </c>
      <c r="E66" s="25" t="n">
        <f aca="false">E8*0.8301*313</f>
        <v>1132.820868</v>
      </c>
      <c r="F66" s="25" t="n">
        <f aca="false">F8*0.8301*313</f>
        <v>1093.847673</v>
      </c>
    </row>
    <row r="67" customFormat="false" ht="15" hidden="false" customHeight="false" outlineLevel="0" collapsed="false">
      <c r="A67" s="39" t="s">
        <v>270</v>
      </c>
      <c r="B67" s="29" t="n">
        <f aca="false">B64/300+B65/200+B66/3000</f>
        <v>1.12896363466667</v>
      </c>
      <c r="C67" s="29" t="n">
        <f aca="false">C64/300+C65/200+C66/3000</f>
        <v>1.57712496433333</v>
      </c>
      <c r="D67" s="29" t="n">
        <f aca="false">D64/300+D65/200+D66/3000</f>
        <v>1.06291006666667</v>
      </c>
      <c r="E67" s="29" t="n">
        <f aca="false">E64/300+E65/200+E66/3000</f>
        <v>1.38953028933333</v>
      </c>
      <c r="F67" s="29" t="n">
        <f aca="false">F64/300+F65/200+F66/3000</f>
        <v>1.362215891</v>
      </c>
    </row>
    <row r="69" customFormat="false" ht="15" hidden="false" customHeight="false" outlineLevel="0" collapsed="false">
      <c r="A69" s="22" t="s">
        <v>271</v>
      </c>
    </row>
    <row r="70" customFormat="false" ht="15" hidden="false" customHeight="false" outlineLevel="0" collapsed="false">
      <c r="A70" s="22" t="s">
        <v>272</v>
      </c>
    </row>
    <row r="71" customFormat="false" ht="15" hidden="false" customHeight="false" outlineLevel="0" collapsed="false">
      <c r="A71" s="22" t="s">
        <v>273</v>
      </c>
    </row>
    <row r="72" customFormat="false" ht="15" hidden="false" customHeight="false" outlineLevel="0" collapsed="false">
      <c r="A72" s="22" t="s">
        <v>274</v>
      </c>
    </row>
    <row r="74" customFormat="false" ht="15" hidden="false" customHeight="false" outlineLevel="0" collapsed="false">
      <c r="A74" s="2" t="s">
        <v>275</v>
      </c>
    </row>
    <row r="75" customFormat="false" ht="15" hidden="false" customHeight="false" outlineLevel="0" collapsed="false">
      <c r="A75" s="39" t="s">
        <v>276</v>
      </c>
      <c r="B75" s="29" t="n">
        <f aca="false">MEDIAN(B54:E54)</f>
        <v>10.046784</v>
      </c>
    </row>
    <row r="76" customFormat="false" ht="15" hidden="false" customHeight="false" outlineLevel="0" collapsed="false">
      <c r="A76" s="39" t="s">
        <v>277</v>
      </c>
      <c r="B76" s="29" t="n">
        <f aca="false">Estatística!B6</f>
        <v>9</v>
      </c>
    </row>
    <row r="77" customFormat="false" ht="15" hidden="false" customHeight="false" outlineLevel="0" collapsed="false">
      <c r="A77" s="39" t="s">
        <v>278</v>
      </c>
      <c r="B77" s="29" t="str">
        <f aca="false">TEXT(Estatística!B10,"0")&amp;"–"&amp;TEXT(Estatística!B13,"0")</f>
        <v>5–12</v>
      </c>
    </row>
    <row r="78" customFormat="false" ht="15" hidden="false" customHeight="false" outlineLevel="0" collapsed="false">
      <c r="A78" s="39" t="s">
        <v>279</v>
      </c>
      <c r="B78" s="29" t="str">
        <f aca="false">TEXT(Estatística!C10,"0")&amp;"–"&amp;TEXT(Estatística!C13,"0")</f>
        <v>4–26</v>
      </c>
    </row>
    <row r="79" customFormat="false" ht="15" hidden="false" customHeight="false" outlineLevel="0" collapsed="false">
      <c r="A79" s="39" t="s">
        <v>280</v>
      </c>
      <c r="B79" s="29" t="n">
        <f aca="false">Estatística!B52</f>
        <v>20.1824816141584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7" min="2" style="0" width="11"/>
  </cols>
  <sheetData>
    <row r="1" customFormat="false" ht="16.15" hidden="false" customHeight="false" outlineLevel="0" collapsed="false">
      <c r="A1" s="1" t="s">
        <v>281</v>
      </c>
    </row>
    <row r="2" customFormat="false" ht="15" hidden="false" customHeight="false" outlineLevel="0" collapsed="false">
      <c r="A2" s="22" t="s">
        <v>282</v>
      </c>
    </row>
    <row r="4" customFormat="false" ht="15" hidden="false" customHeight="false" outlineLevel="0" collapsed="false">
      <c r="A4" s="23" t="s">
        <v>158</v>
      </c>
      <c r="B4" s="23" t="s">
        <v>283</v>
      </c>
      <c r="C4" s="23" t="s">
        <v>19</v>
      </c>
      <c r="D4" s="23" t="s">
        <v>216</v>
      </c>
      <c r="E4" s="23" t="s">
        <v>217</v>
      </c>
      <c r="F4" s="23" t="s">
        <v>218</v>
      </c>
      <c r="G4" s="23" t="s">
        <v>219</v>
      </c>
    </row>
    <row r="5" customFormat="false" ht="15" hidden="false" customHeight="false" outlineLevel="0" collapsed="false">
      <c r="A5" s="24" t="s">
        <v>284</v>
      </c>
      <c r="B5" s="43" t="n">
        <v>1.1728</v>
      </c>
      <c r="C5" s="24" t="s">
        <v>285</v>
      </c>
      <c r="D5" s="50" t="n">
        <f aca="false">'Laudo SGS 2024'!B32*$B5</f>
        <v>41.51712</v>
      </c>
      <c r="E5" s="50" t="n">
        <f aca="false">'Laudo SGS 2024'!C32*$B5</f>
        <v>25.2152</v>
      </c>
      <c r="F5" s="50" t="n">
        <f aca="false">'Laudo SGS 2024'!D32*$B5</f>
        <v>39.64064</v>
      </c>
      <c r="G5" s="50" t="n">
        <f aca="false">'Laudo SGS 2024'!E32*$B5</f>
        <v>57.81904</v>
      </c>
    </row>
    <row r="6" customFormat="false" ht="15" hidden="false" customHeight="false" outlineLevel="0" collapsed="false">
      <c r="A6" s="24" t="s">
        <v>286</v>
      </c>
      <c r="B6" s="43" t="n">
        <v>1.2284</v>
      </c>
      <c r="C6" s="24" t="s">
        <v>285</v>
      </c>
      <c r="D6" s="50" t="n">
        <f aca="false">'Laudo SGS 2024'!B21*$B6</f>
        <v>95.69236</v>
      </c>
      <c r="E6" s="50" t="n">
        <f aca="false">'Laudo SGS 2024'!C21*$B6</f>
        <v>60.56012</v>
      </c>
      <c r="F6" s="50" t="n">
        <f aca="false">'Laudo SGS 2024'!D21*$B6</f>
        <v>83.16268</v>
      </c>
      <c r="G6" s="50" t="n">
        <f aca="false">'Laudo SGS 2024'!E21*$B6</f>
        <v>117.3122</v>
      </c>
    </row>
    <row r="7" customFormat="false" ht="15" hidden="false" customHeight="false" outlineLevel="0" collapsed="false">
      <c r="A7" s="24" t="s">
        <v>287</v>
      </c>
      <c r="B7" s="43" t="n">
        <v>1.2082</v>
      </c>
      <c r="C7" s="24" t="s">
        <v>285</v>
      </c>
      <c r="D7" s="50" t="n">
        <f aca="false">'Laudo SGS 2024'!B38*$B7</f>
        <v>11.888688</v>
      </c>
      <c r="E7" s="50" t="n">
        <f aca="false">'Laudo SGS 2024'!C38*$B7</f>
        <v>7.8533</v>
      </c>
      <c r="F7" s="50" t="n">
        <f aca="false">'Laudo SGS 2024'!D38*$B7</f>
        <v>10.257618</v>
      </c>
      <c r="G7" s="50" t="n">
        <f aca="false">'Laudo SGS 2024'!E38*$B7</f>
        <v>14.969598</v>
      </c>
    </row>
    <row r="8" customFormat="false" ht="15" hidden="false" customHeight="false" outlineLevel="0" collapsed="false">
      <c r="A8" s="24" t="s">
        <v>288</v>
      </c>
      <c r="B8" s="43" t="n">
        <v>1.1664</v>
      </c>
      <c r="C8" s="24" t="s">
        <v>285</v>
      </c>
      <c r="D8" s="50" t="n">
        <f aca="false">'Laudo SGS 2024'!B36*$B8</f>
        <v>43.97328</v>
      </c>
      <c r="E8" s="50" t="n">
        <f aca="false">'Laudo SGS 2024'!C36*$B8</f>
        <v>32.076</v>
      </c>
      <c r="F8" s="50" t="n">
        <f aca="false">'Laudo SGS 2024'!D36*$B8</f>
        <v>39.30768</v>
      </c>
      <c r="G8" s="50" t="n">
        <f aca="false">'Laudo SGS 2024'!E36*$B8</f>
        <v>53.88768</v>
      </c>
    </row>
    <row r="9" customFormat="false" ht="15" hidden="false" customHeight="false" outlineLevel="0" collapsed="false">
      <c r="A9" s="24" t="s">
        <v>289</v>
      </c>
      <c r="B9" s="43" t="n">
        <v>1.1596</v>
      </c>
      <c r="C9" s="24" t="s">
        <v>285</v>
      </c>
      <c r="D9" s="50" t="n">
        <f aca="false">'Laudo SGS 2024'!B40*$B9</f>
        <v>17.04612</v>
      </c>
      <c r="E9" s="50" t="n">
        <f aca="false">'Laudo SGS 2024'!C40*$B9</f>
        <v>15.53864</v>
      </c>
      <c r="F9" s="50" t="n">
        <f aca="false">'Laudo SGS 2024'!D40*$B9</f>
        <v>16.46632</v>
      </c>
      <c r="G9" s="50" t="n">
        <f aca="false">'Laudo SGS 2024'!E40*$B9</f>
        <v>17.62592</v>
      </c>
    </row>
    <row r="10" customFormat="false" ht="15" hidden="false" customHeight="false" outlineLevel="0" collapsed="false">
      <c r="A10" s="24" t="s">
        <v>290</v>
      </c>
      <c r="B10" s="43" t="n">
        <v>1.1579</v>
      </c>
      <c r="C10" s="24" t="s">
        <v>291</v>
      </c>
      <c r="D10" s="50" t="n">
        <f aca="false">'Laudo SGS 2024'!B27*$B10</f>
        <v>0.057895</v>
      </c>
      <c r="E10" s="50" t="n">
        <f aca="false">'Laudo SGS 2024'!C27*$B10</f>
        <v>0</v>
      </c>
      <c r="F10" s="50" t="n">
        <f aca="false">'Laudo SGS 2024'!D27*$B10</f>
        <v>0.057895</v>
      </c>
      <c r="G10" s="50" t="n">
        <f aca="false">'Laudo SGS 2024'!E27*$B10</f>
        <v>0.069474</v>
      </c>
    </row>
    <row r="11" customFormat="false" ht="15" hidden="false" customHeight="false" outlineLevel="0" collapsed="false">
      <c r="A11" s="24" t="s">
        <v>292</v>
      </c>
      <c r="B11" s="43" t="n">
        <v>1.1526</v>
      </c>
      <c r="C11" s="24" t="s">
        <v>291</v>
      </c>
      <c r="D11" s="50" t="n">
        <f aca="false">'Laudo SGS 2024'!B29*$B11</f>
        <v>23.432358</v>
      </c>
      <c r="E11" s="50" t="n">
        <f aca="false">'Laudo SGS 2024'!C29*$B11</f>
        <v>26.440644</v>
      </c>
      <c r="F11" s="50" t="n">
        <f aca="false">'Laudo SGS 2024'!D29*$B11</f>
        <v>25.276518</v>
      </c>
      <c r="G11" s="50" t="n">
        <f aca="false">'Laudo SGS 2024'!E29*$B11</f>
        <v>21.196314</v>
      </c>
    </row>
    <row r="12" customFormat="false" ht="15" hidden="false" customHeight="false" outlineLevel="0" collapsed="false">
      <c r="A12" s="24" t="s">
        <v>293</v>
      </c>
      <c r="B12" s="43" t="n">
        <v>1.1762</v>
      </c>
      <c r="C12" s="24" t="s">
        <v>291</v>
      </c>
      <c r="D12" s="50" t="n">
        <f aca="false">'Laudo SGS 2024'!B43*$B12</f>
        <v>5.045898</v>
      </c>
      <c r="E12" s="50" t="n">
        <f aca="false">'Laudo SGS 2024'!C43*$B12</f>
        <v>6.327956</v>
      </c>
      <c r="F12" s="50" t="n">
        <f aca="false">'Laudo SGS 2024'!D43*$B12</f>
        <v>5.928048</v>
      </c>
      <c r="G12" s="50" t="n">
        <f aca="false">'Laudo SGS 2024'!E43*$B12</f>
        <v>4.034366</v>
      </c>
    </row>
    <row r="13" customFormat="false" ht="15" hidden="false" customHeight="false" outlineLevel="0" collapsed="false">
      <c r="A13" s="24" t="s">
        <v>294</v>
      </c>
      <c r="B13" s="43" t="n">
        <v>1.1477</v>
      </c>
      <c r="C13" s="24" t="s">
        <v>291</v>
      </c>
      <c r="D13" s="50" t="n">
        <f aca="false">'Laudo SGS 2024'!B25*$B13</f>
        <v>36.818216</v>
      </c>
      <c r="E13" s="50" t="n">
        <f aca="false">'Laudo SGS 2024'!C25*$B13</f>
        <v>49.052698</v>
      </c>
      <c r="F13" s="50" t="n">
        <f aca="false">'Laudo SGS 2024'!D25*$B13</f>
        <v>45.047225</v>
      </c>
      <c r="G13" s="50" t="n">
        <f aca="false">'Laudo SGS 2024'!E25*$B13</f>
        <v>26.224945</v>
      </c>
    </row>
    <row r="14" customFormat="false" ht="15" hidden="false" customHeight="false" outlineLevel="0" collapsed="false">
      <c r="A14" s="24" t="s">
        <v>295</v>
      </c>
      <c r="B14" s="43" t="n">
        <v>1.1455</v>
      </c>
      <c r="C14" s="24" t="s">
        <v>291</v>
      </c>
      <c r="D14" s="50" t="n">
        <f aca="false">'Laudo SGS 2024'!B31*$B14</f>
        <v>7.7894</v>
      </c>
      <c r="E14" s="50" t="n">
        <f aca="false">'Laudo SGS 2024'!C31*$B14</f>
        <v>10.320955</v>
      </c>
      <c r="F14" s="50" t="n">
        <f aca="false">'Laudo SGS 2024'!D31*$B14</f>
        <v>9.34728</v>
      </c>
      <c r="G14" s="50" t="n">
        <f aca="false">'Laudo SGS 2024'!E31*$B14</f>
        <v>5.372395</v>
      </c>
    </row>
    <row r="15" customFormat="false" ht="15" hidden="false" customHeight="false" outlineLevel="0" collapsed="false">
      <c r="A15" s="24" t="s">
        <v>296</v>
      </c>
      <c r="B15" s="43" t="n">
        <v>1.1435</v>
      </c>
      <c r="C15" s="24" t="s">
        <v>291</v>
      </c>
      <c r="D15" s="50" t="n">
        <f aca="false">'Laudo SGS 2024'!B26*$B15</f>
        <v>25.11126</v>
      </c>
      <c r="E15" s="50" t="n">
        <f aca="false">'Laudo SGS 2024'!C26*$B15</f>
        <v>32.646925</v>
      </c>
      <c r="F15" s="50" t="n">
        <f aca="false">'Laudo SGS 2024'!D26*$B15</f>
        <v>29.673825</v>
      </c>
      <c r="G15" s="50" t="n">
        <f aca="false">'Laudo SGS 2024'!E26*$B15</f>
        <v>16.10048</v>
      </c>
    </row>
    <row r="16" customFormat="false" ht="15" hidden="false" customHeight="false" outlineLevel="0" collapsed="false">
      <c r="A16" s="24" t="s">
        <v>297</v>
      </c>
      <c r="B16" s="43" t="n">
        <v>1.1421</v>
      </c>
      <c r="C16" s="24" t="s">
        <v>291</v>
      </c>
      <c r="D16" s="50" t="n">
        <f aca="false">'Laudo SGS 2024'!B45*$B16</f>
        <v>3.609036</v>
      </c>
      <c r="E16" s="50" t="n">
        <f aca="false">'Laudo SGS 2024'!C45*$B16</f>
        <v>4.442769</v>
      </c>
      <c r="F16" s="50" t="n">
        <f aca="false">'Laudo SGS 2024'!D45*$B16</f>
        <v>4.180086</v>
      </c>
      <c r="G16" s="50" t="n">
        <f aca="false">'Laudo SGS 2024'!E45*$B16</f>
        <v>2.318463</v>
      </c>
    </row>
    <row r="17" customFormat="false" ht="15" hidden="false" customHeight="false" outlineLevel="0" collapsed="false">
      <c r="A17" s="24" t="s">
        <v>298</v>
      </c>
      <c r="B17" s="43" t="n">
        <v>1.1387</v>
      </c>
      <c r="C17" s="24" t="s">
        <v>291</v>
      </c>
      <c r="D17" s="50" t="n">
        <f aca="false">'Laudo SGS 2024'!B49*$B17</f>
        <v>23.68496</v>
      </c>
      <c r="E17" s="50" t="n">
        <f aca="false">'Laudo SGS 2024'!C49*$B17</f>
        <v>27.44267</v>
      </c>
      <c r="F17" s="50" t="n">
        <f aca="false">'Laudo SGS 2024'!D49*$B17</f>
        <v>26.30397</v>
      </c>
      <c r="G17" s="50" t="n">
        <f aca="false">'Laudo SGS 2024'!E49*$B17</f>
        <v>14.8031</v>
      </c>
    </row>
    <row r="18" customFormat="false" ht="15" hidden="false" customHeight="false" outlineLevel="0" collapsed="false">
      <c r="A18" s="24" t="s">
        <v>299</v>
      </c>
      <c r="B18" s="43" t="n">
        <v>1.1371</v>
      </c>
      <c r="C18" s="24" t="s">
        <v>291</v>
      </c>
      <c r="D18" s="50" t="n">
        <f aca="false">'Laudo SGS 2024'!B33*$B18</f>
        <v>2.933718</v>
      </c>
      <c r="E18" s="50" t="n">
        <f aca="false">'Laudo SGS 2024'!C33*$B18</f>
        <v>3.399929</v>
      </c>
      <c r="F18" s="50" t="n">
        <f aca="false">'Laudo SGS 2024'!D33*$B18</f>
        <v>3.252106</v>
      </c>
      <c r="G18" s="50" t="n">
        <f aca="false">'Laudo SGS 2024'!E33*$B18</f>
        <v>1.830731</v>
      </c>
    </row>
    <row r="19" customFormat="false" ht="15" hidden="false" customHeight="false" outlineLevel="0" collapsed="false">
      <c r="A19" s="24" t="s">
        <v>300</v>
      </c>
      <c r="B19" s="43" t="n">
        <v>1.2699</v>
      </c>
      <c r="C19" s="24" t="s">
        <v>291</v>
      </c>
      <c r="D19" s="50" t="n">
        <f aca="false">'Laudo SGS 2024'!B48*$B19</f>
        <v>255.808656</v>
      </c>
      <c r="E19" s="50" t="n">
        <f aca="false">'Laudo SGS 2024'!C48*$B19</f>
        <v>329.145381</v>
      </c>
      <c r="F19" s="50" t="n">
        <f aca="false">'Laudo SGS 2024'!D48*$B19</f>
        <v>321.03072</v>
      </c>
      <c r="G19" s="50" t="n">
        <f aca="false">'Laudo SGS 2024'!E48*$B19</f>
        <v>216.149679</v>
      </c>
    </row>
    <row r="21" customFormat="false" ht="15" hidden="false" customHeight="false" outlineLevel="0" collapsed="false">
      <c r="A21" s="2" t="s">
        <v>301</v>
      </c>
      <c r="D21" s="51" t="n">
        <f aca="false">SUM(D5:D19)</f>
        <v>594.408965</v>
      </c>
      <c r="E21" s="51" t="n">
        <f aca="false">SUM(E5:E19)</f>
        <v>630.463187</v>
      </c>
      <c r="F21" s="51" t="n">
        <f aca="false">SUM(F5:F19)</f>
        <v>658.932611</v>
      </c>
      <c r="G21" s="51" t="n">
        <f aca="false">SUM(G5:G19)</f>
        <v>569.714385</v>
      </c>
    </row>
    <row r="22" customFormat="false" ht="15" hidden="false" customHeight="false" outlineLevel="0" collapsed="false">
      <c r="A22" s="39" t="s">
        <v>302</v>
      </c>
      <c r="D22" s="52" t="n">
        <f aca="false">D21/10000</f>
        <v>0.0594408965</v>
      </c>
      <c r="E22" s="52" t="n">
        <f aca="false">E21/10000</f>
        <v>0.0630463187</v>
      </c>
      <c r="F22" s="52" t="n">
        <f aca="false">F21/10000</f>
        <v>0.0658932611</v>
      </c>
      <c r="G22" s="52" t="n">
        <f aca="false">G21/10000</f>
        <v>0.0569714385</v>
      </c>
    </row>
    <row r="23" customFormat="false" ht="15" hidden="false" customHeight="false" outlineLevel="0" collapsed="false">
      <c r="A23" s="39" t="s">
        <v>303</v>
      </c>
      <c r="D23" s="53" t="n">
        <f aca="false">SUMIF($C$5:$C$19,"pesado+Y",D5:D19)/D21</f>
        <v>0.646510095957251</v>
      </c>
      <c r="E23" s="53" t="n">
        <f aca="false">SUMIF($C$5:$C$19,"pesado+Y",E5:E19)/E21</f>
        <v>0.7759690606646</v>
      </c>
      <c r="F23" s="53" t="n">
        <f aca="false">SUMIF($C$5:$C$19,"pesado+Y",F5:F19)/F21</f>
        <v>0.71342298916816</v>
      </c>
      <c r="G23" s="53" t="n">
        <f aca="false">SUMIF($C$5:$C$19,"pesado+Y",G5:G19)/G21</f>
        <v>0.540797204901189</v>
      </c>
    </row>
    <row r="24" customFormat="false" ht="15" hidden="false" customHeight="false" outlineLevel="0" collapsed="false">
      <c r="A24" s="39" t="s">
        <v>304</v>
      </c>
      <c r="D24" s="53" t="n">
        <f aca="false">D19/D21</f>
        <v>0.430358004442278</v>
      </c>
      <c r="E24" s="53" t="n">
        <f aca="false">E19/E21</f>
        <v>0.522069151358714</v>
      </c>
      <c r="F24" s="53" t="n">
        <f aca="false">F19/F21</f>
        <v>0.487198105907677</v>
      </c>
      <c r="G24" s="53" t="n">
        <f aca="false">G19/G21</f>
        <v>0.379400072546878</v>
      </c>
    </row>
    <row r="25" customFormat="false" ht="15" hidden="false" customHeight="false" outlineLevel="0" collapsed="false">
      <c r="A25" s="39" t="s">
        <v>305</v>
      </c>
      <c r="D25" s="51" t="n">
        <f aca="false">D8+D7+D13+D12</f>
        <v>97.726082</v>
      </c>
      <c r="E25" s="51" t="n">
        <f aca="false">E8+E7+E13+E12</f>
        <v>95.309954</v>
      </c>
      <c r="F25" s="51" t="n">
        <f aca="false">F8+F7+F13+F12</f>
        <v>100.540571</v>
      </c>
      <c r="G25" s="51" t="n">
        <f aca="false">G8+G7+G13+G12</f>
        <v>99.116589</v>
      </c>
    </row>
    <row r="26" customFormat="false" ht="15" hidden="false" customHeight="false" outlineLevel="0" collapsed="false">
      <c r="A26" s="39" t="s">
        <v>306</v>
      </c>
      <c r="D26" s="51" t="n">
        <f aca="false">D13+D12</f>
        <v>41.864114</v>
      </c>
      <c r="E26" s="51" t="n">
        <f aca="false">E13+E12</f>
        <v>55.380654</v>
      </c>
      <c r="F26" s="51" t="n">
        <f aca="false">F13+F12</f>
        <v>50.975273</v>
      </c>
      <c r="G26" s="51" t="n">
        <f aca="false">G13+G12</f>
        <v>30.259311</v>
      </c>
    </row>
    <row r="27" customFormat="false" ht="15" hidden="false" customHeight="false" outlineLevel="0" collapsed="false">
      <c r="A27" s="39" t="s">
        <v>307</v>
      </c>
      <c r="D27" s="51" t="n">
        <f aca="false">D21/'Laudo SGS 2024'!B44</f>
        <v>27.392118202765</v>
      </c>
      <c r="E27" s="51" t="n">
        <f aca="false">E21/'Laudo SGS 2024'!C44</f>
        <v>20.2721281993569</v>
      </c>
      <c r="F27" s="51" t="n">
        <f aca="false">F21/'Laudo SGS 2024'!D44</f>
        <v>33.4483558883249</v>
      </c>
      <c r="G27" s="51" t="n">
        <f aca="false">G21/'Laudo SGS 2024'!E44</f>
        <v>17.9155466981132</v>
      </c>
    </row>
    <row r="28" customFormat="false" ht="15" hidden="false" customHeight="false" outlineLevel="0" collapsed="false">
      <c r="A28" s="39" t="s">
        <v>308</v>
      </c>
      <c r="D28" s="54" t="n">
        <f aca="false">D21/$B$30</f>
        <v>2.91376943627451</v>
      </c>
      <c r="E28" s="54" t="n">
        <f aca="false">E21/$B$30</f>
        <v>3.09050581862745</v>
      </c>
      <c r="F28" s="54" t="n">
        <f aca="false">F21/$B$30</f>
        <v>3.23006181862745</v>
      </c>
      <c r="G28" s="54" t="n">
        <f aca="false">G21/$B$30</f>
        <v>2.79271757352941</v>
      </c>
    </row>
    <row r="30" customFormat="false" ht="15" hidden="false" customHeight="false" outlineLevel="0" collapsed="false">
      <c r="A30" s="39" t="s">
        <v>309</v>
      </c>
      <c r="B30" s="31" t="n">
        <v>204</v>
      </c>
      <c r="C30" s="22" t="s">
        <v>310</v>
      </c>
    </row>
    <row r="32" customFormat="false" ht="15" hidden="false" customHeight="false" outlineLevel="0" collapsed="false">
      <c r="A32" s="55" t="s">
        <v>311</v>
      </c>
    </row>
    <row r="33" customFormat="false" ht="15" hidden="false" customHeight="false" outlineLevel="0" collapsed="false">
      <c r="A33" s="22" t="s">
        <v>312</v>
      </c>
    </row>
    <row r="34" customFormat="false" ht="15" hidden="false" customHeight="false" outlineLevel="0" collapsed="false">
      <c r="A34" s="22" t="s">
        <v>313</v>
      </c>
    </row>
    <row r="35" customFormat="false" ht="15" hidden="false" customHeight="false" outlineLevel="0" collapsed="false">
      <c r="A35" s="22" t="s">
        <v>314</v>
      </c>
    </row>
    <row r="36" customFormat="false" ht="15" hidden="false" customHeight="false" outlineLevel="0" collapsed="false">
      <c r="A36" s="22" t="s">
        <v>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2026-09-27T12:48:38Z</dcterms:created>
  <dc:creator>openpyxl</dc:creator>
  <dc:description/>
  <dc:language>en-US</dc:language>
  <cp:lastModifiedBy/>
  <dcterms:modified xsi:type="dcterms:W3CDTF">2026-09-27T12:48:39Z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