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álculo ITR 2026" sheetId="1" state="visible" r:id="rId1"/>
  </sheets>
  <definedNames>
    <definedName name="_xlnm.Print_Titles" localSheetId="0">'Cálculo ITR 2026'!$7:$7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;-#,##0.000;&quot;-&quot;"/>
    <numFmt numFmtId="165" formatCode="0.0%;-0.0%;&quot;-&quot;"/>
    <numFmt numFmtId="166" formatCode="&quot;R$&quot; #,##0.00;-&quot;R$&quot; #,##0.00;&quot;-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1F5130"/>
      <sz val="12"/>
    </font>
    <font>
      <name val="Arial"/>
      <b val="1"/>
      <color rgb="00FFFFFF"/>
      <sz val="10"/>
    </font>
    <font>
      <name val="Arial"/>
      <i val="1"/>
      <color rgb="00595959"/>
      <sz val="10"/>
    </font>
    <font>
      <name val="Arial"/>
      <b val="1"/>
      <sz val="12"/>
    </font>
    <font>
      <name val="Arial"/>
      <b val="1"/>
      <color rgb="001F5130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5130"/>
      </patternFill>
    </fill>
    <fill>
      <patternFill patternType="solid">
        <fgColor rgb="00FFF2CC"/>
      </patternFill>
    </fill>
    <fill>
      <patternFill patternType="solid">
        <fgColor rgb="00F3F3F3"/>
      </patternFill>
    </fill>
    <fill>
      <patternFill patternType="solid">
        <fgColor rgb="00A9CBB0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1F5130"/>
      </bottom>
    </border>
    <border>
      <left style="thin">
        <color rgb="00BFBFBF"/>
      </left>
      <right style="thin">
        <color rgb="00BFBFBF"/>
      </right>
      <top style="medium">
        <color rgb="001F5130"/>
      </top>
      <bottom style="medium">
        <color rgb="001F513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2" borderId="0" applyAlignment="1" pivotButton="0" quotePrefix="0" xfId="0">
      <alignment inden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horizontal="center"/>
    </xf>
    <xf numFmtId="0" fontId="6" fillId="0" borderId="2" pivotButton="0" quotePrefix="0" xfId="0"/>
    <xf numFmtId="0" fontId="0" fillId="0" borderId="2" pivotButton="0" quotePrefix="0" xfId="0"/>
    <xf numFmtId="0" fontId="7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/>
    </xf>
    <xf numFmtId="165" fontId="5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8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/>
    </xf>
    <xf numFmtId="165" fontId="5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vertical="center"/>
    </xf>
    <xf numFmtId="166" fontId="5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3" fillId="5" borderId="3" pivotButton="0" quotePrefix="0" xfId="0"/>
    <xf numFmtId="164" fontId="3" fillId="5" borderId="3" pivotButton="0" quotePrefix="0" xfId="0"/>
    <xf numFmtId="165" fontId="3" fillId="5" borderId="3" applyAlignment="1" pivotButton="0" quotePrefix="0" xfId="0">
      <alignment horizontal="center"/>
    </xf>
    <xf numFmtId="0" fontId="3" fillId="5" borderId="3" applyAlignment="1" pivotButton="0" quotePrefix="0" xfId="0">
      <alignment horizontal="right"/>
    </xf>
    <xf numFmtId="166" fontId="3" fillId="5" borderId="3" pivotButton="0" quotePrefix="0" xfId="0"/>
    <xf numFmtId="0" fontId="3" fillId="0" borderId="1" pivotButton="0" quotePrefix="0" xfId="0"/>
    <xf numFmtId="0" fontId="0" fillId="0" borderId="1" pivotButton="0" quotePrefix="0" xfId="0"/>
    <xf numFmtId="164" fontId="4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3" fillId="3" borderId="1" pivotButton="0" quotePrefix="0" xfId="0"/>
    <xf numFmtId="0" fontId="0" fillId="3" borderId="1" pivotButton="0" quotePrefix="0" xfId="0"/>
    <xf numFmtId="166" fontId="9" fillId="3" borderId="1" applyAlignment="1" pivotButton="0" quotePrefix="0" xfId="0">
      <alignment horizontal="right" vertical="center"/>
    </xf>
    <xf numFmtId="0" fontId="10" fillId="0" borderId="1" applyAlignment="1" pivotButton="0" quotePrefix="0" xfId="0">
      <alignment vertical="center" wrapText="1"/>
    </xf>
    <xf numFmtId="164" fontId="5" fillId="0" borderId="1" applyAlignment="1" pivotButton="0" quotePrefix="0" xfId="0">
      <alignment horizontal="right"/>
    </xf>
    <xf numFmtId="0" fontId="1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Nota</author>
  </authors>
  <commentList>
    <comment ref="F15" authorId="0" shapeId="0">
      <text>
        <t>Valor de referência específico para Produtos Vegetais (informado pela usuária).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H3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48" customWidth="1" min="3" max="3"/>
    <col width="13" customWidth="1" min="4" max="4"/>
    <col width="11" customWidth="1" min="5" max="5"/>
    <col width="20" customWidth="1" min="6" max="6"/>
    <col width="20" customWidth="1" min="7" max="7"/>
    <col width="13" customWidth="1" min="8" max="8"/>
  </cols>
  <sheetData>
    <row r="1" ht="34" customHeight="1">
      <c r="B1" s="1" t="inlineStr">
        <is>
          <t>ITR 2026 — Fazenda Riozinho</t>
        </is>
      </c>
    </row>
    <row r="2">
      <c r="B2" s="2" t="inlineStr">
        <is>
          <t>Cálculo do Valor da Terra Nua (VTN) e do VTN Tributável para a declaração do ITR</t>
        </is>
      </c>
    </row>
    <row r="4">
      <c r="B4" s="3" t="inlineStr">
        <is>
          <t>Legenda:</t>
        </is>
      </c>
      <c r="C4" s="4" t="inlineStr">
        <is>
          <t>Azul = valor digitado (pode editar)</t>
        </is>
      </c>
      <c r="D4" s="5" t="inlineStr">
        <is>
          <t>Preto = fórmula (não editar)</t>
        </is>
      </c>
      <c r="G4" s="6" t="inlineStr">
        <is>
          <t>Resultado final</t>
        </is>
      </c>
    </row>
    <row r="6">
      <c r="B6" s="7" t="inlineStr">
        <is>
          <t>1. Composição do imóvel e Valor da Terra Nua (VTN)</t>
        </is>
      </c>
      <c r="C6" s="8" t="n"/>
      <c r="D6" s="8" t="n"/>
      <c r="E6" s="8" t="n"/>
      <c r="F6" s="8" t="n"/>
      <c r="G6" s="8" t="n"/>
      <c r="H6" s="8" t="n"/>
    </row>
    <row r="7" ht="32" customHeight="1">
      <c r="B7" s="9" t="inlineStr">
        <is>
          <t>Classificação</t>
        </is>
      </c>
      <c r="C7" s="9" t="inlineStr">
        <is>
          <t>O que é</t>
        </is>
      </c>
      <c r="D7" s="9" t="inlineStr">
        <is>
          <t>Área (ha)</t>
        </is>
      </c>
      <c r="E7" s="9" t="inlineStr">
        <is>
          <t>% da área</t>
        </is>
      </c>
      <c r="F7" s="9" t="inlineStr">
        <is>
          <t>Valor de referência 2026 (R$/ha)</t>
        </is>
      </c>
      <c r="G7" s="9" t="inlineStr">
        <is>
          <t>VTN 2026 (R$)
= Área × Valor</t>
        </is>
      </c>
      <c r="H7" s="9" t="inlineStr">
        <is>
          <t>Tributável?</t>
        </is>
      </c>
    </row>
    <row r="8" ht="26" customHeight="1">
      <c r="B8" s="10" t="inlineStr">
        <is>
          <t>APP</t>
        </is>
      </c>
      <c r="C8" s="11" t="inlineStr">
        <is>
          <t>Área de Preservação Permanente (margens de rios, nascentes, encostas)</t>
        </is>
      </c>
      <c r="D8" s="12" t="n"/>
      <c r="E8" s="13">
        <f>IF($D$19=0,0,D8/$D$19)</f>
        <v/>
      </c>
      <c r="F8" s="14" t="n">
        <v>8790.17</v>
      </c>
      <c r="G8" s="15">
        <f>D8*F8</f>
        <v/>
      </c>
      <c r="H8" s="16" t="inlineStr">
        <is>
          <t>Não</t>
        </is>
      </c>
    </row>
    <row r="9" ht="26" customHeight="1">
      <c r="B9" s="17" t="inlineStr">
        <is>
          <t>Vegetação nativa</t>
        </is>
      </c>
      <c r="C9" s="18" t="inlineStr">
        <is>
          <t>Mata / vegetação nativa preservada</t>
        </is>
      </c>
      <c r="D9" s="19" t="n">
        <v>81.43000000000001</v>
      </c>
      <c r="E9" s="20">
        <f>IF($D$19=0,0,D9/$D$19)</f>
        <v/>
      </c>
      <c r="F9" s="21" t="n">
        <v>8790.17</v>
      </c>
      <c r="G9" s="22">
        <f>D9*F9</f>
        <v/>
      </c>
      <c r="H9" s="23" t="inlineStr">
        <is>
          <t>Não</t>
        </is>
      </c>
    </row>
    <row r="10" ht="26" customHeight="1">
      <c r="B10" s="10" t="inlineStr">
        <is>
          <t>RL (se sobrepõe a Veg. Nativa e APP)</t>
        </is>
      </c>
      <c r="C10" s="11" t="inlineStr">
        <is>
          <t>Reserva Legal — já incluída nas áreas acima, não somar de novo</t>
        </is>
      </c>
      <c r="D10" s="12" t="n"/>
      <c r="E10" s="13">
        <f>IF($D$19=0,0,D10/$D$19)</f>
        <v/>
      </c>
      <c r="F10" s="14" t="n">
        <v>8790.17</v>
      </c>
      <c r="G10" s="15">
        <f>D10*F10</f>
        <v/>
      </c>
      <c r="H10" s="16" t="inlineStr">
        <is>
          <t>Não</t>
        </is>
      </c>
    </row>
    <row r="11" ht="26" customHeight="1">
      <c r="B11" s="17" t="inlineStr">
        <is>
          <t>Jazida (mineração)</t>
        </is>
      </c>
      <c r="C11" s="18" t="inlineStr">
        <is>
          <t>Área de jazida / exploração mineral</t>
        </is>
      </c>
      <c r="D11" s="19" t="n">
        <v>38.453</v>
      </c>
      <c r="E11" s="20">
        <f>IF($D$19=0,0,D11/$D$19)</f>
        <v/>
      </c>
      <c r="F11" s="21" t="n">
        <v>8790.17</v>
      </c>
      <c r="G11" s="22">
        <f>D11*F11</f>
        <v/>
      </c>
      <c r="H11" s="23" t="inlineStr">
        <is>
          <t>Sim</t>
        </is>
      </c>
    </row>
    <row r="12" ht="26" customHeight="1">
      <c r="B12" s="10" t="inlineStr">
        <is>
          <t>Outras áreas</t>
        </is>
      </c>
      <c r="C12" s="11" t="inlineStr">
        <is>
          <t>Áreas não enquadradas nas demais classes</t>
        </is>
      </c>
      <c r="D12" s="12" t="n"/>
      <c r="E12" s="13">
        <f>IF($D$19=0,0,D12/$D$19)</f>
        <v/>
      </c>
      <c r="F12" s="14" t="n">
        <v>8790.17</v>
      </c>
      <c r="G12" s="15">
        <f>D12*F12</f>
        <v/>
      </c>
      <c r="H12" s="16" t="inlineStr">
        <is>
          <t>Sim</t>
        </is>
      </c>
    </row>
    <row r="13" ht="26" customHeight="1">
      <c r="B13" s="17" t="inlineStr">
        <is>
          <t>Benfeitorias Agricultura</t>
        </is>
      </c>
      <c r="C13" s="18" t="inlineStr">
        <is>
          <t>Área ocupada por benfeitorias ligadas à agricultura</t>
        </is>
      </c>
      <c r="D13" s="19" t="n">
        <v>7.2</v>
      </c>
      <c r="E13" s="20">
        <f>IF($D$19=0,0,D13/$D$19)</f>
        <v/>
      </c>
      <c r="F13" s="21" t="n">
        <v>8790.17</v>
      </c>
      <c r="G13" s="22">
        <f>D13*F13</f>
        <v/>
      </c>
      <c r="H13" s="23" t="inlineStr">
        <is>
          <t>Sim</t>
        </is>
      </c>
    </row>
    <row r="14" ht="26" customHeight="1">
      <c r="B14" s="10" t="inlineStr">
        <is>
          <t>Produtos Vegetais</t>
        </is>
      </c>
      <c r="C14" s="11" t="inlineStr">
        <is>
          <t>Área com lavouras / produtos vegetais</t>
        </is>
      </c>
      <c r="D14" s="12" t="n">
        <v>31.2</v>
      </c>
      <c r="E14" s="13">
        <f>IF($D$19=0,0,D14/$D$19)</f>
        <v/>
      </c>
      <c r="F14" s="14" t="n">
        <v>66951.81</v>
      </c>
      <c r="G14" s="15">
        <f>D14*F14</f>
        <v/>
      </c>
      <c r="H14" s="16" t="inlineStr">
        <is>
          <t>Sim</t>
        </is>
      </c>
    </row>
    <row r="15" ht="26" customHeight="1">
      <c r="B15" s="17" t="inlineStr">
        <is>
          <t>Reflorestamento (PRAD)</t>
        </is>
      </c>
      <c r="C15" s="18" t="inlineStr">
        <is>
          <t>Área em recuperação (Plano de Recuperação de Área Degradada)</t>
        </is>
      </c>
      <c r="D15" s="19" t="n">
        <v>8.26</v>
      </c>
      <c r="E15" s="20">
        <f>IF($D$19=0,0,D15/$D$19)</f>
        <v/>
      </c>
      <c r="F15" s="21" t="n">
        <v>8790.17</v>
      </c>
      <c r="G15" s="22">
        <f>D15*F15</f>
        <v/>
      </c>
      <c r="H15" s="23" t="inlineStr">
        <is>
          <t>Sim</t>
        </is>
      </c>
    </row>
    <row r="16" ht="26" customHeight="1">
      <c r="B16" s="10" t="inlineStr">
        <is>
          <t>Pastagem plantada</t>
        </is>
      </c>
      <c r="C16" s="11" t="inlineStr">
        <is>
          <t>Pasto formado / plantado</t>
        </is>
      </c>
      <c r="D16" s="12" t="n">
        <v>45.1</v>
      </c>
      <c r="E16" s="13">
        <f>IF($D$19=0,0,D16/$D$19)</f>
        <v/>
      </c>
      <c r="F16" s="14" t="n">
        <v>25857.75</v>
      </c>
      <c r="G16" s="15">
        <f>D16*F16</f>
        <v/>
      </c>
      <c r="H16" s="16" t="inlineStr">
        <is>
          <t>Sim</t>
        </is>
      </c>
    </row>
    <row r="17" ht="26" customHeight="1">
      <c r="B17" s="17" t="inlineStr">
        <is>
          <t>Pastagem natural</t>
        </is>
      </c>
      <c r="C17" s="18" t="inlineStr">
        <is>
          <t>Pasto nativo</t>
        </is>
      </c>
      <c r="D17" s="19" t="n">
        <v>23.36</v>
      </c>
      <c r="E17" s="20">
        <f>IF($D$19=0,0,D17/$D$19)</f>
        <v/>
      </c>
      <c r="F17" s="21" t="n">
        <v>15602.55</v>
      </c>
      <c r="G17" s="22">
        <f>D17*F17</f>
        <v/>
      </c>
      <c r="H17" s="23" t="inlineStr">
        <is>
          <t>Sim</t>
        </is>
      </c>
    </row>
    <row r="18" ht="26" customHeight="1">
      <c r="B18" s="10" t="inlineStr">
        <is>
          <t>Demais benfeitorias</t>
        </is>
      </c>
      <c r="C18" s="11" t="inlineStr">
        <is>
          <t>Sede, estradas, currais e outras benfeitorias</t>
        </is>
      </c>
      <c r="D18" s="12" t="n">
        <v>4.7</v>
      </c>
      <c r="E18" s="13">
        <f>IF($D$19=0,0,D18/$D$19)</f>
        <v/>
      </c>
      <c r="F18" s="14" t="n">
        <v>8790.17</v>
      </c>
      <c r="G18" s="15">
        <f>D18*F18</f>
        <v/>
      </c>
      <c r="H18" s="16" t="inlineStr">
        <is>
          <t>Sim</t>
        </is>
      </c>
    </row>
    <row r="19">
      <c r="B19" s="24" t="inlineStr">
        <is>
          <t>TOTAL</t>
        </is>
      </c>
      <c r="C19" s="24" t="inlineStr">
        <is>
          <t>Soma de todas as classes</t>
        </is>
      </c>
      <c r="D19" s="25">
        <f>SUM(D8:D18)</f>
        <v/>
      </c>
      <c r="E19" s="26">
        <f>SUM(E8:E18)</f>
        <v/>
      </c>
      <c r="F19" s="27" t="inlineStr">
        <is>
          <t>VTN →</t>
        </is>
      </c>
      <c r="G19" s="28">
        <f>SUM(G8:G18)</f>
        <v/>
      </c>
      <c r="H19" s="24" t="n"/>
    </row>
    <row r="21">
      <c r="B21" s="7" t="inlineStr">
        <is>
          <t>2. Cálculo do VTN Tributável</t>
        </is>
      </c>
      <c r="C21" s="8" t="n"/>
      <c r="D21" s="8" t="n"/>
      <c r="E21" s="8" t="n"/>
      <c r="F21" s="8" t="n"/>
      <c r="G21" s="8" t="n"/>
      <c r="H21" s="8" t="n"/>
    </row>
    <row r="22" ht="24" customHeight="1">
      <c r="B22" s="29" t="inlineStr">
        <is>
          <t>Área tributável (ha)</t>
        </is>
      </c>
      <c r="C22" s="30" t="n"/>
      <c r="D22" s="31" t="n">
        <v>158.27</v>
      </c>
      <c r="E22" s="30" t="n"/>
      <c r="F22" s="11" t="inlineStr">
        <is>
          <t>Área total menos as áreas isentas (APP, vegetação nativa e Reserva Legal)</t>
        </is>
      </c>
      <c r="G22" s="30" t="n"/>
      <c r="H22" s="30" t="n"/>
    </row>
    <row r="23" ht="24" customHeight="1">
      <c r="B23" s="29" t="inlineStr">
        <is>
          <t>Área total do imóvel (ha)</t>
        </is>
      </c>
      <c r="C23" s="30" t="n"/>
      <c r="D23" s="31" t="n">
        <v>239.7</v>
      </c>
      <c r="E23" s="30" t="n"/>
      <c r="F23" s="11" t="inlineStr">
        <is>
          <t>Conforme documentação do imóvel (CAR / CCIR)</t>
        </is>
      </c>
      <c r="G23" s="30" t="n"/>
      <c r="H23" s="30" t="n"/>
    </row>
    <row r="24" ht="24" customHeight="1">
      <c r="B24" s="29" t="inlineStr">
        <is>
          <t>Valor total do imóvel — VTN (R$)</t>
        </is>
      </c>
      <c r="C24" s="30" t="n"/>
      <c r="D24" s="32">
        <f>G19</f>
        <v/>
      </c>
      <c r="E24" s="30" t="n"/>
      <c r="F24" s="11" t="inlineStr">
        <is>
          <t>Vem do total da tabela acima</t>
        </is>
      </c>
      <c r="G24" s="30" t="n"/>
      <c r="H24" s="30" t="n"/>
    </row>
    <row r="25" ht="34" customHeight="1">
      <c r="B25" s="33" t="inlineStr">
        <is>
          <t>Valor da Terra Nua Tributável — VTNt (R$)</t>
        </is>
      </c>
      <c r="C25" s="34" t="n"/>
      <c r="D25" s="35">
        <f>IF(D23=0,0,(D22/D23)*D24)</f>
        <v/>
      </c>
      <c r="E25" s="34" t="n"/>
      <c r="F25" s="36" t="inlineStr">
        <is>
          <t>★ Este é o valor que deve aparecer na calculadora do sistema (= Área tributável ÷ Área total × VTN)</t>
        </is>
      </c>
      <c r="G25" s="30" t="n"/>
      <c r="H25" s="30" t="n"/>
    </row>
    <row r="27">
      <c r="B27" s="7" t="inlineStr">
        <is>
          <t>3. Conferência (para evitar erros de digitação)</t>
        </is>
      </c>
      <c r="C27" s="8" t="n"/>
      <c r="D27" s="8" t="n"/>
      <c r="E27" s="8" t="n"/>
      <c r="F27" s="8" t="n"/>
      <c r="G27" s="8" t="n"/>
      <c r="H27" s="8" t="n"/>
    </row>
    <row r="28">
      <c r="B28" s="30" t="inlineStr">
        <is>
          <t>Soma das áreas da tabela (ha)</t>
        </is>
      </c>
      <c r="C28" s="30" t="n"/>
      <c r="D28" s="37">
        <f>D19</f>
        <v/>
      </c>
      <c r="E28" s="30" t="n"/>
      <c r="F28" s="30" t="n"/>
      <c r="G28" s="30" t="n"/>
      <c r="H28" s="30" t="n"/>
    </row>
    <row r="29">
      <c r="B29" s="30" t="inlineStr">
        <is>
          <t>Diferença para a área total do imóvel (ha)</t>
        </is>
      </c>
      <c r="C29" s="30" t="n"/>
      <c r="D29" s="37">
        <f>D19-D23</f>
        <v/>
      </c>
      <c r="E29" s="30" t="n"/>
      <c r="F29" s="29">
        <f>IF(ABS(D29)&lt;0.01,"✔ OK","⚠ Verificar: diferença de "&amp;FIXED(ABS(D29),3)&amp;" ha")</f>
        <v/>
      </c>
      <c r="G29" s="30" t="n"/>
      <c r="H29" s="30" t="n"/>
    </row>
    <row r="30">
      <c r="B30" s="30" t="inlineStr">
        <is>
          <t>Área não tributável pela tabela (ha)</t>
        </is>
      </c>
      <c r="C30" s="30" t="n"/>
      <c r="D30" s="37">
        <f>SUMIF(H8:H18,"Não",D8:D18)</f>
        <v/>
      </c>
      <c r="E30" s="30" t="n"/>
      <c r="F30" s="30" t="n"/>
      <c r="G30" s="30" t="n"/>
      <c r="H30" s="30" t="n"/>
    </row>
    <row r="31">
      <c r="B31" s="30" t="inlineStr">
        <is>
          <t>Área tributável pela tabela (ha)</t>
        </is>
      </c>
      <c r="C31" s="30" t="n"/>
      <c r="D31" s="37">
        <f>SUMIF(H8:H18,"Sim",D8:D18)</f>
        <v/>
      </c>
      <c r="E31" s="30" t="n"/>
      <c r="F31" s="30" t="n"/>
      <c r="G31" s="30" t="n"/>
      <c r="H31" s="30" t="n"/>
    </row>
    <row r="32">
      <c r="B32" s="30" t="inlineStr">
        <is>
          <t>Diferença para a área tributável informada (ha)</t>
        </is>
      </c>
      <c r="C32" s="30" t="n"/>
      <c r="D32" s="37">
        <f>D31-D22</f>
        <v/>
      </c>
      <c r="E32" s="30" t="n"/>
      <c r="F32" s="29">
        <f>IF(ABS(D32)&lt;0.01,"✔ OK","⚠ Verificar: diferença de "&amp;FIXED(ABS(D32),3)&amp;" ha")</f>
        <v/>
      </c>
      <c r="G32" s="30" t="n"/>
      <c r="H32" s="30" t="n"/>
    </row>
    <row r="34">
      <c r="B34" s="7" t="inlineStr">
        <is>
          <t>Observações</t>
        </is>
      </c>
      <c r="C34" s="8" t="n"/>
      <c r="D34" s="8" t="n"/>
      <c r="E34" s="8" t="n"/>
      <c r="F34" s="8" t="n"/>
      <c r="G34" s="8" t="n"/>
      <c r="H34" s="8" t="n"/>
    </row>
    <row r="35" ht="20" customHeight="1">
      <c r="B35" s="38" t="inlineStr">
        <is>
          <t>•  Na calculadora do sistema, os valores de construções, instalações e benfeitorias podem ficar zerados, assim como os de culturas e pastagens.</t>
        </is>
      </c>
    </row>
    <row r="36" ht="20" customHeight="1">
      <c r="B36" s="38" t="inlineStr">
        <is>
          <t>•  A Reserva Legal (RL) se sobrepõe à vegetação nativa e à APP: não informe a mesma área duas vezes na tabela.</t>
        </is>
      </c>
    </row>
    <row r="37" ht="20" customHeight="1">
      <c r="B37" s="38" t="inlineStr">
        <is>
          <t>•  Para atualizar em outro ano, basta alterar as áreas e os valores de referência (células em azul); todas as fórmulas se recalculam sozinhas.</t>
        </is>
      </c>
    </row>
  </sheetData>
  <mergeCells count="36">
    <mergeCell ref="B25:C25"/>
    <mergeCell ref="F32:H32"/>
    <mergeCell ref="B6:H6"/>
    <mergeCell ref="B22:C22"/>
    <mergeCell ref="D22:E22"/>
    <mergeCell ref="B31:C31"/>
    <mergeCell ref="D31:E31"/>
    <mergeCell ref="B37:H37"/>
    <mergeCell ref="F23:H23"/>
    <mergeCell ref="B36:H36"/>
    <mergeCell ref="F22:H22"/>
    <mergeCell ref="F28:H28"/>
    <mergeCell ref="F31:H31"/>
    <mergeCell ref="B35:H35"/>
    <mergeCell ref="B23:C23"/>
    <mergeCell ref="D32:E32"/>
    <mergeCell ref="B29:C29"/>
    <mergeCell ref="B27:H27"/>
    <mergeCell ref="B21:H21"/>
    <mergeCell ref="B28:C28"/>
    <mergeCell ref="D28:E28"/>
    <mergeCell ref="B2:H2"/>
    <mergeCell ref="F29:H29"/>
    <mergeCell ref="F25:H25"/>
    <mergeCell ref="D25:E25"/>
    <mergeCell ref="B24:C24"/>
    <mergeCell ref="B30:C30"/>
    <mergeCell ref="D24:E24"/>
    <mergeCell ref="D30:E30"/>
    <mergeCell ref="B1:H1"/>
    <mergeCell ref="D29:E29"/>
    <mergeCell ref="D23:E23"/>
    <mergeCell ref="B32:C32"/>
    <mergeCell ref="F30:H30"/>
    <mergeCell ref="B34:H34"/>
    <mergeCell ref="F24:H24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2026-09-24T17:38:02Z</dcterms:created>
  <dcterms:modified xsi:type="dcterms:W3CDTF">2026-09-24T17:38:02Z</dcterms:modified>
</cp:coreProperties>
</file>